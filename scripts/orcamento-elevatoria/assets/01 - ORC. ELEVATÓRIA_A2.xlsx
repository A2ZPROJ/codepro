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DANIEL_GAMA\Desktop\Daniel\2S Engenharia\23 - MARINGÁ\05 - CT Projetos\03 - Elevatória\04 - ALTAMIRA\SB-A2\"/>
    </mc:Choice>
  </mc:AlternateContent>
  <xr:revisionPtr revIDLastSave="0" documentId="13_ncr:1_{A1959A4F-8595-445B-B78F-3318841F40DB}" xr6:coauthVersionLast="47" xr6:coauthVersionMax="47" xr10:uidLastSave="{00000000-0000-0000-0000-000000000000}"/>
  <bookViews>
    <workbookView xWindow="-120" yWindow="-120" windowWidth="29040" windowHeight="15720" xr2:uid="{C99D63F5-964E-404F-B2D6-FB272435A155}"/>
  </bookViews>
  <sheets>
    <sheet name="ORÇAMENTO SINTÉTICO - SB-A2" sheetId="17" r:id="rId1"/>
    <sheet name="BDI" sheetId="16" r:id="rId2"/>
    <sheet name="Memorial" sheetId="18" r:id="rId3"/>
    <sheet name="Quantitativo" sheetId="23" r:id="rId4"/>
    <sheet name="Preços tubos e conexões" sheetId="22" r:id="rId5"/>
    <sheet name="Elétrico" sheetId="21" r:id="rId6"/>
    <sheet name="ORÇAMENTO SINTÉTICO - PA4" sheetId="2" r:id="rId7"/>
    <sheet name="Quantitativo PA4" sheetId="19" r:id="rId8"/>
  </sheets>
  <externalReferences>
    <externalReference r:id="rId9"/>
    <externalReference r:id="rId10"/>
    <externalReference r:id="rId11"/>
  </externalReferences>
  <definedNames>
    <definedName name="_xlnm._FilterDatabase" localSheetId="6" hidden="1">'ORÇAMENTO SINTÉTICO - PA4'!$B$12:$P$305</definedName>
    <definedName name="_xlnm._FilterDatabase" localSheetId="0" hidden="1">'ORÇAMENTO SINTÉTICO - SB-A2'!$B$13:$P$210</definedName>
    <definedName name="_Order1" hidden="1">255</definedName>
    <definedName name="_Order2" hidden="1">255</definedName>
    <definedName name="AAA_1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AAA_1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AAA_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AAA_2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AAA_2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AAA_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AAA_3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AAA_3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AAA_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AAA_4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AAA_4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AAA_4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xlnm.Print_Area" localSheetId="1">BDI!$A$1:$C$33</definedName>
    <definedName name="_xlnm.Print_Area" localSheetId="6">'ORÇAMENTO SINTÉTICO - PA4'!$B$1:$P$305</definedName>
    <definedName name="_xlnm.Print_Area" localSheetId="0">'ORÇAMENTO SINTÉTICO - SB-A2'!$B$1:$P$211</definedName>
    <definedName name="BBB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_1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_1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_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_2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_2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_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_3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_3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_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_4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_4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_4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_1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_1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_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_2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_2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_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_3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_3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_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_4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_4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_4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RANCO" localSheetId="1" hidden="1">{#N/A,#N/A,FALSE,"Gráficos";#N/A,#N/A,FALSE,"ResumoR$";#N/A,#N/A,FALSE,"ResumoUS$";#N/A,#N/A,FALSE,"Gráf2002";#N/A,#N/A,FALSE,"2002R$"}</definedName>
    <definedName name="BRANCO" localSheetId="0" hidden="1">{#N/A,#N/A,FALSE,"Gráficos";#N/A,#N/A,FALSE,"ResumoR$";#N/A,#N/A,FALSE,"ResumoUS$";#N/A,#N/A,FALSE,"Gráf2002";#N/A,#N/A,FALSE,"2002R$"}</definedName>
    <definedName name="BRANCO" hidden="1">{#N/A,#N/A,FALSE,"Gráficos";#N/A,#N/A,FALSE,"ResumoR$";#N/A,#N/A,FALSE,"ResumoUS$";#N/A,#N/A,FALSE,"Gráf2002";#N/A,#N/A,FALSE,"2002R$"}</definedName>
    <definedName name="CAPA_APRESENTAÇÃO" localSheetId="1" hidden="1">{#N/A,#N/A,FALSE,"22189";#N/A,#N/A,FALSE,"22188";#N/A,#N/A,FALSE,"22187";#N/A,#N/A,FALSE,"02184";#N/A,#N/A,FALSE,"02179";#N/A,#N/A,FALSE,"Resumo"}</definedName>
    <definedName name="CAPA_APRESENTAÇÃO" localSheetId="0" hidden="1">{#N/A,#N/A,FALSE,"22189";#N/A,#N/A,FALSE,"22188";#N/A,#N/A,FALSE,"22187";#N/A,#N/A,FALSE,"02184";#N/A,#N/A,FALSE,"02179";#N/A,#N/A,FALSE,"Resumo"}</definedName>
    <definedName name="CAPA_APRESENTAÇÃO" hidden="1">{#N/A,#N/A,FALSE,"22189";#N/A,#N/A,FALSE,"22188";#N/A,#N/A,FALSE,"22187";#N/A,#N/A,FALSE,"02184";#N/A,#N/A,FALSE,"02179";#N/A,#N/A,FALSE,"Resumo"}</definedName>
    <definedName name="cccc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_1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_1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_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_2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_2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_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_3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_3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_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_4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_4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_4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Junho20032" localSheetId="1" hidden="1">{#N/A,#N/A,FALSE,"Gráficos";#N/A,#N/A,FALSE,"ResumoR$";#N/A,#N/A,FALSE,"ResumoUS$";#N/A,#N/A,FALSE,"Gráf2002";#N/A,#N/A,FALSE,"2002R$"}</definedName>
    <definedName name="Junho20032" localSheetId="0" hidden="1">{#N/A,#N/A,FALSE,"Gráficos";#N/A,#N/A,FALSE,"ResumoR$";#N/A,#N/A,FALSE,"ResumoUS$";#N/A,#N/A,FALSE,"Gráf2002";#N/A,#N/A,FALSE,"2002R$"}</definedName>
    <definedName name="Junho20032" hidden="1">{#N/A,#N/A,FALSE,"Gráficos";#N/A,#N/A,FALSE,"ResumoR$";#N/A,#N/A,FALSE,"ResumoUS$";#N/A,#N/A,FALSE,"Gráf2002";#N/A,#N/A,FALSE,"2002R$"}</definedName>
    <definedName name="RealizJanaMai2003Adri" localSheetId="1" hidden="1">{#N/A,#N/A,FALSE,"Gráficos";#N/A,#N/A,FALSE,"ResumoR$";#N/A,#N/A,FALSE,"ResumoUS$";#N/A,#N/A,FALSE,"Gráf2002";#N/A,#N/A,FALSE,"2002R$"}</definedName>
    <definedName name="RealizJanaMai2003Adri" localSheetId="0" hidden="1">{#N/A,#N/A,FALSE,"Gráficos";#N/A,#N/A,FALSE,"ResumoR$";#N/A,#N/A,FALSE,"ResumoUS$";#N/A,#N/A,FALSE,"Gráf2002";#N/A,#N/A,FALSE,"2002R$"}</definedName>
    <definedName name="RealizJanaMai2003Adri" hidden="1">{#N/A,#N/A,FALSE,"Gráficos";#N/A,#N/A,FALSE,"ResumoR$";#N/A,#N/A,FALSE,"ResumoUS$";#N/A,#N/A,FALSE,"Gráf2002";#N/A,#N/A,FALSE,"2002R$"}</definedName>
    <definedName name="_xlnm.Print_Titles" localSheetId="6">'ORÇAMENTO SINTÉTICO - PA4'!$1:$1</definedName>
    <definedName name="_xlnm.Print_Titles" localSheetId="0">'ORÇAMENTO SINTÉTICO - SB-A2'!$1:$1</definedName>
    <definedName name="_xlnm.Print_Titles" localSheetId="3">Quantitativo!$1:$2</definedName>
    <definedName name="Toto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_1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_1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_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_2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_2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_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_3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_3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_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_4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_4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_4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RelGerencial." localSheetId="1" hidden="1">{#N/A,#N/A,FALSE,"Gráficos";#N/A,#N/A,FALSE,"ResumoR$";#N/A,#N/A,FALSE,"ResumoUS$";#N/A,#N/A,FALSE,"Gráf2002";#N/A,#N/A,FALSE,"2002R$"}</definedName>
    <definedName name="wrn.RelGerencial." localSheetId="0" hidden="1">{#N/A,#N/A,FALSE,"Gráficos";#N/A,#N/A,FALSE,"ResumoR$";#N/A,#N/A,FALSE,"ResumoUS$";#N/A,#N/A,FALSE,"Gráf2002";#N/A,#N/A,FALSE,"2002R$"}</definedName>
    <definedName name="wrn.RelGerencial." hidden="1">{#N/A,#N/A,FALSE,"Gráficos";#N/A,#N/A,FALSE,"ResumoR$";#N/A,#N/A,FALSE,"ResumoUS$";#N/A,#N/A,FALSE,"Gráf2002";#N/A,#N/A,FALSE,"2002R$"}</definedName>
    <definedName name="wrn.SOCIEDAD.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_1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_1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_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_2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_2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_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_3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_3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_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_4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_4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_4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Todas." localSheetId="1" hidden="1">{#N/A,#N/A,FALSE,"22189";#N/A,#N/A,FALSE,"22188";#N/A,#N/A,FALSE,"22187";#N/A,#N/A,FALSE,"02184";#N/A,#N/A,FALSE,"02179";#N/A,#N/A,FALSE,"Resumo"}</definedName>
    <definedName name="wrn.Todas." localSheetId="0" hidden="1">{#N/A,#N/A,FALSE,"22189";#N/A,#N/A,FALSE,"22188";#N/A,#N/A,FALSE,"22187";#N/A,#N/A,FALSE,"02184";#N/A,#N/A,FALSE,"02179";#N/A,#N/A,FALSE,"Resumo"}</definedName>
    <definedName name="wrn.Todas." hidden="1">{#N/A,#N/A,FALSE,"22189";#N/A,#N/A,FALSE,"22188";#N/A,#N/A,FALSE,"22187";#N/A,#N/A,FALSE,"02184";#N/A,#N/A,FALSE,"02179";#N/A,#N/A,FALSE,"Resumo"}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5" i="17" l="1"/>
  <c r="I61" i="17"/>
  <c r="I62" i="17"/>
  <c r="M148" i="17"/>
  <c r="O148" i="17"/>
  <c r="O147" i="17"/>
  <c r="M147" i="17"/>
  <c r="I164" i="17"/>
  <c r="B36" i="23"/>
  <c r="I163" i="17"/>
  <c r="M163" i="17"/>
  <c r="I162" i="17"/>
  <c r="O105" i="17"/>
  <c r="O104" i="17"/>
  <c r="M104" i="17"/>
  <c r="O103" i="17"/>
  <c r="M103" i="17"/>
  <c r="O102" i="17"/>
  <c r="M102" i="17"/>
  <c r="O101" i="17"/>
  <c r="M101" i="17"/>
  <c r="O100" i="17"/>
  <c r="M100" i="17"/>
  <c r="O99" i="17"/>
  <c r="M99" i="17"/>
  <c r="O98" i="17"/>
  <c r="M98" i="17"/>
  <c r="O97" i="17"/>
  <c r="M97" i="17"/>
  <c r="O96" i="17"/>
  <c r="M96" i="17"/>
  <c r="O95" i="17"/>
  <c r="M95" i="17"/>
  <c r="O94" i="17"/>
  <c r="M94" i="17"/>
  <c r="O93" i="17"/>
  <c r="M93" i="17"/>
  <c r="O92" i="17"/>
  <c r="M92" i="17"/>
  <c r="O91" i="17"/>
  <c r="M91" i="17"/>
  <c r="O90" i="17"/>
  <c r="M90" i="17"/>
  <c r="O89" i="17"/>
  <c r="M89" i="17"/>
  <c r="O88" i="17"/>
  <c r="M88" i="17"/>
  <c r="O87" i="17"/>
  <c r="M87" i="17"/>
  <c r="O86" i="17"/>
  <c r="M86" i="17"/>
  <c r="O85" i="17"/>
  <c r="M85" i="17"/>
  <c r="O84" i="17"/>
  <c r="M84" i="17"/>
  <c r="O83" i="17"/>
  <c r="M83" i="17"/>
  <c r="O82" i="17"/>
  <c r="M82" i="17"/>
  <c r="O81" i="17"/>
  <c r="M81" i="17"/>
  <c r="O80" i="17"/>
  <c r="M80" i="17"/>
  <c r="O79" i="17"/>
  <c r="M79" i="17"/>
  <c r="O78" i="17"/>
  <c r="M78" i="17"/>
  <c r="I151" i="17"/>
  <c r="I142" i="17"/>
  <c r="C26" i="18"/>
  <c r="C23" i="18"/>
  <c r="I139" i="17"/>
  <c r="X13" i="18"/>
  <c r="I135" i="17"/>
  <c r="I133" i="17"/>
  <c r="I131" i="17"/>
  <c r="M159" i="17"/>
  <c r="M158" i="17"/>
  <c r="M157" i="17"/>
  <c r="M156" i="17"/>
  <c r="M155" i="17"/>
  <c r="M153" i="17"/>
  <c r="M152" i="17"/>
  <c r="M151" i="17"/>
  <c r="O145" i="17"/>
  <c r="N145" i="17"/>
  <c r="M145" i="17"/>
  <c r="M144" i="17"/>
  <c r="K144" i="17"/>
  <c r="M142" i="17"/>
  <c r="M139" i="17"/>
  <c r="M137" i="17"/>
  <c r="M135" i="17"/>
  <c r="M133" i="17"/>
  <c r="N132" i="17"/>
  <c r="M131" i="17"/>
  <c r="J16" i="18"/>
  <c r="K16" i="18"/>
  <c r="I118" i="17"/>
  <c r="I116" i="17"/>
  <c r="I114" i="17"/>
  <c r="G3" i="18"/>
  <c r="P5" i="18"/>
  <c r="M114" i="17"/>
  <c r="I52" i="17"/>
  <c r="I50" i="17"/>
  <c r="I48" i="17"/>
  <c r="I46" i="17"/>
  <c r="R12" i="18"/>
  <c r="R10" i="18"/>
  <c r="I22" i="17"/>
  <c r="C10" i="18"/>
  <c r="G10" i="18"/>
  <c r="G9" i="18"/>
  <c r="I65" i="17"/>
  <c r="F18" i="23"/>
  <c r="L22" i="18"/>
  <c r="N16" i="18"/>
  <c r="J17" i="18"/>
  <c r="K17" i="18"/>
  <c r="G5" i="18"/>
  <c r="C3" i="18"/>
  <c r="M128" i="17"/>
  <c r="O128" i="17"/>
  <c r="B83" i="19"/>
  <c r="B77" i="19"/>
  <c r="B78" i="19"/>
  <c r="B79" i="19"/>
  <c r="B80" i="19"/>
  <c r="B81" i="19"/>
  <c r="B82" i="19"/>
  <c r="B76" i="19"/>
  <c r="C4" i="18"/>
  <c r="I189" i="17"/>
  <c r="B79" i="17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M77" i="17"/>
  <c r="O76" i="17"/>
  <c r="O75" i="17"/>
  <c r="M73" i="17"/>
  <c r="O73" i="17"/>
  <c r="O71" i="17"/>
  <c r="M71" i="17"/>
  <c r="N71" i="17" s="1"/>
  <c r="P71" i="17" s="1"/>
  <c r="P70" i="17" s="1"/>
  <c r="K127" i="17"/>
  <c r="O127" i="17" s="1"/>
  <c r="M127" i="17"/>
  <c r="M126" i="17"/>
  <c r="O126" i="17"/>
  <c r="M125" i="17"/>
  <c r="O125" i="17"/>
  <c r="K124" i="17"/>
  <c r="M122" i="17"/>
  <c r="N122" i="17" s="1"/>
  <c r="M120" i="17"/>
  <c r="M118" i="17"/>
  <c r="N118" i="17" s="1"/>
  <c r="M116" i="17"/>
  <c r="N116" i="17" s="1"/>
  <c r="N115" i="17"/>
  <c r="K108" i="17"/>
  <c r="D33" i="19"/>
  <c r="D5" i="19"/>
  <c r="D35" i="19"/>
  <c r="I165" i="17"/>
  <c r="K161" i="17"/>
  <c r="M161" i="17"/>
  <c r="M162" i="17"/>
  <c r="K164" i="17"/>
  <c r="M164" i="17"/>
  <c r="K165" i="17"/>
  <c r="M165" i="17"/>
  <c r="B145" i="17" l="1"/>
  <c r="B190" i="17" s="1"/>
  <c r="N148" i="17"/>
  <c r="P148" i="17" s="1"/>
  <c r="O163" i="17"/>
  <c r="N147" i="17"/>
  <c r="N163" i="17"/>
  <c r="N92" i="17"/>
  <c r="N78" i="17"/>
  <c r="N104" i="17"/>
  <c r="P104" i="17" s="1"/>
  <c r="N103" i="17"/>
  <c r="P103" i="17" s="1"/>
  <c r="N102" i="17"/>
  <c r="P102" i="17" s="1"/>
  <c r="N101" i="17"/>
  <c r="P101" i="17" s="1"/>
  <c r="N100" i="17"/>
  <c r="P100" i="17" s="1"/>
  <c r="N99" i="17"/>
  <c r="P99" i="17" s="1"/>
  <c r="N98" i="17"/>
  <c r="P98" i="17" s="1"/>
  <c r="N97" i="17"/>
  <c r="P97" i="17" s="1"/>
  <c r="N94" i="17"/>
  <c r="P94" i="17" s="1"/>
  <c r="N93" i="17"/>
  <c r="P93" i="17" s="1"/>
  <c r="N90" i="17"/>
  <c r="P90" i="17" s="1"/>
  <c r="N89" i="17"/>
  <c r="P89" i="17" s="1"/>
  <c r="N86" i="17"/>
  <c r="P86" i="17" s="1"/>
  <c r="N84" i="17"/>
  <c r="P84" i="17" s="1"/>
  <c r="N82" i="17"/>
  <c r="P82" i="17" s="1"/>
  <c r="N81" i="17"/>
  <c r="P81" i="17" s="1"/>
  <c r="N80" i="17"/>
  <c r="P80" i="17" s="1"/>
  <c r="N79" i="17"/>
  <c r="P79" i="17" s="1"/>
  <c r="N96" i="17"/>
  <c r="P96" i="17" s="1"/>
  <c r="N95" i="17"/>
  <c r="P95" i="17" s="1"/>
  <c r="N91" i="17"/>
  <c r="P91" i="17" s="1"/>
  <c r="N88" i="17"/>
  <c r="P88" i="17" s="1"/>
  <c r="N87" i="17"/>
  <c r="P87" i="17" s="1"/>
  <c r="N85" i="17"/>
  <c r="P85" i="17" s="1"/>
  <c r="N83" i="17"/>
  <c r="P83" i="17" s="1"/>
  <c r="I137" i="17"/>
  <c r="B26" i="18"/>
  <c r="C27" i="18" s="1"/>
  <c r="I158" i="17"/>
  <c r="I159" i="17" s="1"/>
  <c r="I152" i="17"/>
  <c r="I153" i="17"/>
  <c r="I155" i="17"/>
  <c r="O151" i="17"/>
  <c r="N151" i="17"/>
  <c r="P151" i="17" s="1"/>
  <c r="O159" i="17"/>
  <c r="N159" i="17"/>
  <c r="P159" i="17" s="1"/>
  <c r="O158" i="17"/>
  <c r="N158" i="17"/>
  <c r="P158" i="17" s="1"/>
  <c r="N157" i="17"/>
  <c r="N156" i="17"/>
  <c r="I156" i="17"/>
  <c r="O155" i="17"/>
  <c r="N155" i="17"/>
  <c r="P155" i="17" s="1"/>
  <c r="O153" i="17"/>
  <c r="N153" i="17"/>
  <c r="P153" i="17" s="1"/>
  <c r="N152" i="17"/>
  <c r="N133" i="17"/>
  <c r="O144" i="17"/>
  <c r="N144" i="17"/>
  <c r="P144" i="17" s="1"/>
  <c r="P143" i="17" s="1"/>
  <c r="O142" i="17"/>
  <c r="N142" i="17"/>
  <c r="P142" i="17" s="1"/>
  <c r="P141" i="17" s="1"/>
  <c r="O139" i="17"/>
  <c r="N139" i="17"/>
  <c r="P139" i="17" s="1"/>
  <c r="P138" i="17" s="1"/>
  <c r="N137" i="17"/>
  <c r="O137" i="17"/>
  <c r="O135" i="17"/>
  <c r="N135" i="17"/>
  <c r="P135" i="17" s="1"/>
  <c r="P134" i="17" s="1"/>
  <c r="O133" i="17"/>
  <c r="O131" i="17"/>
  <c r="N131" i="17"/>
  <c r="P131" i="17" s="1"/>
  <c r="P130" i="17" s="1"/>
  <c r="I120" i="17"/>
  <c r="O120" i="17" s="1"/>
  <c r="O118" i="17"/>
  <c r="P118" i="17"/>
  <c r="P117" i="17" s="1"/>
  <c r="P116" i="17"/>
  <c r="P115" i="17" s="1"/>
  <c r="P6" i="18"/>
  <c r="I109" i="17" s="1"/>
  <c r="O109" i="17" s="1"/>
  <c r="N114" i="17"/>
  <c r="P114" i="17" s="1"/>
  <c r="P113" i="17" s="1"/>
  <c r="O114" i="17"/>
  <c r="I122" i="17"/>
  <c r="O122" i="17" s="1"/>
  <c r="N128" i="17"/>
  <c r="N73" i="17"/>
  <c r="P73" i="17" s="1"/>
  <c r="P72" i="17" s="1"/>
  <c r="N127" i="17"/>
  <c r="P127" i="17" s="1"/>
  <c r="N126" i="17"/>
  <c r="P126" i="17" s="1"/>
  <c r="N125" i="17"/>
  <c r="P125" i="17" s="1"/>
  <c r="N120" i="17"/>
  <c r="P120" i="17" s="1"/>
  <c r="P119" i="17" s="1"/>
  <c r="O116" i="17"/>
  <c r="I111" i="17"/>
  <c r="O111" i="17" s="1"/>
  <c r="N165" i="17"/>
  <c r="P165" i="17" s="1"/>
  <c r="O165" i="17"/>
  <c r="O162" i="17"/>
  <c r="N162" i="17"/>
  <c r="P162" i="17" s="1"/>
  <c r="N164" i="17"/>
  <c r="P164" i="17" s="1"/>
  <c r="O164" i="17"/>
  <c r="P92" i="17" l="1"/>
  <c r="P152" i="17"/>
  <c r="O152" i="17"/>
  <c r="I157" i="17"/>
  <c r="P163" i="17"/>
  <c r="P147" i="17"/>
  <c r="P146" i="17" s="1"/>
  <c r="P78" i="17"/>
  <c r="O157" i="17"/>
  <c r="P156" i="17"/>
  <c r="O156" i="17"/>
  <c r="P140" i="17"/>
  <c r="P133" i="17"/>
  <c r="P132" i="17" s="1"/>
  <c r="P137" i="17"/>
  <c r="P136" i="17" s="1"/>
  <c r="P122" i="17"/>
  <c r="P121" i="17" s="1"/>
  <c r="P128" i="17"/>
  <c r="P124" i="17" s="1"/>
  <c r="P123" i="17" s="1"/>
  <c r="P161" i="17"/>
  <c r="P150" i="17" l="1"/>
  <c r="P157" i="17"/>
  <c r="P154" i="17" s="1"/>
  <c r="P112" i="17"/>
  <c r="D37" i="19"/>
  <c r="D36" i="19"/>
  <c r="D9" i="19"/>
  <c r="D24" i="19"/>
  <c r="D22" i="19"/>
  <c r="D21" i="19"/>
  <c r="D20" i="19"/>
  <c r="D19" i="19"/>
  <c r="L17" i="18"/>
  <c r="L16" i="18"/>
  <c r="I54" i="17"/>
  <c r="I192" i="17"/>
  <c r="I190" i="17"/>
  <c r="I172" i="17"/>
  <c r="O172" i="17" s="1"/>
  <c r="I171" i="17"/>
  <c r="O171" i="17" s="1"/>
  <c r="M172" i="17"/>
  <c r="N172" i="17" s="1"/>
  <c r="M171" i="17"/>
  <c r="N171" i="17" s="1"/>
  <c r="I167" i="17"/>
  <c r="I168" i="17"/>
  <c r="P149" i="17" l="1"/>
  <c r="L18" i="18"/>
  <c r="L19" i="18" s="1"/>
  <c r="I56" i="17" s="1"/>
  <c r="P171" i="17"/>
  <c r="P172" i="17"/>
  <c r="O207" i="17"/>
  <c r="I203" i="17"/>
  <c r="O203" i="17" s="1"/>
  <c r="I202" i="17"/>
  <c r="O202" i="17" s="1"/>
  <c r="I201" i="17"/>
  <c r="O201" i="17" s="1"/>
  <c r="I199" i="17"/>
  <c r="O199" i="17" s="1"/>
  <c r="I198" i="17"/>
  <c r="O198" i="17" s="1"/>
  <c r="O205" i="17"/>
  <c r="I196" i="17"/>
  <c r="I195" i="17"/>
  <c r="I194" i="17"/>
  <c r="I193" i="17"/>
  <c r="O192" i="17"/>
  <c r="O190" i="17"/>
  <c r="I187" i="17"/>
  <c r="I185" i="17"/>
  <c r="P22" i="21"/>
  <c r="P21" i="21"/>
  <c r="I183" i="17"/>
  <c r="I181" i="17"/>
  <c r="I179" i="17"/>
  <c r="I178" i="17"/>
  <c r="I176" i="17"/>
  <c r="I174" i="17"/>
  <c r="D14" i="19"/>
  <c r="P170" i="17" l="1"/>
  <c r="G17" i="18" l="1"/>
  <c r="F15" i="19"/>
  <c r="F11" i="19"/>
  <c r="F4" i="19"/>
  <c r="G6" i="18" l="1"/>
  <c r="I41" i="17" s="1"/>
  <c r="D4" i="18"/>
  <c r="D3" i="18"/>
  <c r="C9" i="18"/>
  <c r="C8" i="18"/>
  <c r="K7" i="17"/>
  <c r="O196" i="17"/>
  <c r="O195" i="17"/>
  <c r="O194" i="17"/>
  <c r="O193" i="17"/>
  <c r="O189" i="17"/>
  <c r="O187" i="17"/>
  <c r="O185" i="17"/>
  <c r="O183" i="17"/>
  <c r="O181" i="17"/>
  <c r="O179" i="17"/>
  <c r="O178" i="17"/>
  <c r="O176" i="17"/>
  <c r="O174" i="17"/>
  <c r="M170" i="17"/>
  <c r="K170" i="17"/>
  <c r="M169" i="17"/>
  <c r="K169" i="17"/>
  <c r="M168" i="17"/>
  <c r="K168" i="17"/>
  <c r="M167" i="17"/>
  <c r="K167" i="17"/>
  <c r="K166" i="17"/>
  <c r="M160" i="17"/>
  <c r="K160" i="17"/>
  <c r="M68" i="17"/>
  <c r="K68" i="17"/>
  <c r="M67" i="17"/>
  <c r="K67" i="17"/>
  <c r="K66" i="17"/>
  <c r="M65" i="17"/>
  <c r="K65" i="17"/>
  <c r="O65" i="17" s="1"/>
  <c r="M64" i="17"/>
  <c r="K64" i="17"/>
  <c r="O64" i="17" s="1"/>
  <c r="K63" i="17"/>
  <c r="M62" i="17"/>
  <c r="K62" i="17"/>
  <c r="M61" i="17"/>
  <c r="K61" i="17"/>
  <c r="K60" i="17"/>
  <c r="M59" i="17"/>
  <c r="K59" i="17"/>
  <c r="O59" i="17" s="1"/>
  <c r="K58" i="17"/>
  <c r="K57" i="17"/>
  <c r="M56" i="17"/>
  <c r="K56" i="17"/>
  <c r="O56" i="17" s="1"/>
  <c r="K55" i="17"/>
  <c r="M54" i="17"/>
  <c r="K54" i="17"/>
  <c r="K53" i="17"/>
  <c r="M52" i="17"/>
  <c r="K52" i="17"/>
  <c r="O52" i="17" s="1"/>
  <c r="K51" i="17"/>
  <c r="M50" i="17"/>
  <c r="K50" i="17"/>
  <c r="O50" i="17" s="1"/>
  <c r="K49" i="17"/>
  <c r="M48" i="17"/>
  <c r="K48" i="17"/>
  <c r="K47" i="17"/>
  <c r="N47" i="17" s="1"/>
  <c r="M46" i="17"/>
  <c r="K46" i="17"/>
  <c r="K45" i="17"/>
  <c r="K44" i="17"/>
  <c r="K43" i="17"/>
  <c r="K42" i="17"/>
  <c r="K41" i="17"/>
  <c r="K40" i="17"/>
  <c r="K39" i="17"/>
  <c r="K37" i="17"/>
  <c r="O37" i="17" s="1"/>
  <c r="K36" i="17"/>
  <c r="O36" i="17" s="1"/>
  <c r="K35" i="17"/>
  <c r="K34" i="17"/>
  <c r="K33" i="17"/>
  <c r="K32" i="17"/>
  <c r="K31" i="17"/>
  <c r="O31" i="17" s="1"/>
  <c r="K30" i="17"/>
  <c r="K29" i="17"/>
  <c r="K28" i="17"/>
  <c r="O28" i="17" s="1"/>
  <c r="K27" i="17"/>
  <c r="K26" i="17"/>
  <c r="O26" i="17" s="1"/>
  <c r="K25" i="17"/>
  <c r="M24" i="17"/>
  <c r="K24" i="17"/>
  <c r="O24" i="17" s="1"/>
  <c r="M23" i="17"/>
  <c r="K23" i="17"/>
  <c r="K22" i="17"/>
  <c r="K21" i="17"/>
  <c r="K20" i="17"/>
  <c r="K19" i="17"/>
  <c r="O19" i="17" s="1"/>
  <c r="K18" i="17"/>
  <c r="K17" i="17"/>
  <c r="K16" i="17"/>
  <c r="C15" i="18" l="1"/>
  <c r="I209" i="17" s="1"/>
  <c r="D5" i="18"/>
  <c r="N50" i="17"/>
  <c r="P50" i="17" s="1"/>
  <c r="O41" i="17"/>
  <c r="I17" i="17"/>
  <c r="O17" i="17" s="1"/>
  <c r="I34" i="17"/>
  <c r="O34" i="17" s="1"/>
  <c r="I33" i="17"/>
  <c r="O33" i="17" s="1"/>
  <c r="O22" i="17"/>
  <c r="G11" i="18"/>
  <c r="I43" i="17"/>
  <c r="O43" i="17" s="1"/>
  <c r="N52" i="17"/>
  <c r="P52" i="17" s="1"/>
  <c r="N64" i="17"/>
  <c r="P64" i="17" s="1"/>
  <c r="N65" i="17"/>
  <c r="P65" i="17" s="1"/>
  <c r="O62" i="17"/>
  <c r="N62" i="17"/>
  <c r="P62" i="17" s="1"/>
  <c r="N46" i="17"/>
  <c r="P46" i="17" s="1"/>
  <c r="N59" i="17"/>
  <c r="P59" i="17" s="1"/>
  <c r="N54" i="17"/>
  <c r="P54" i="17" s="1"/>
  <c r="P53" i="17" s="1"/>
  <c r="O54" i="17"/>
  <c r="O61" i="17"/>
  <c r="N61" i="17"/>
  <c r="P61" i="17" s="1"/>
  <c r="N56" i="17"/>
  <c r="P56" i="17" s="1"/>
  <c r="N68" i="17"/>
  <c r="N24" i="17"/>
  <c r="P24" i="17" s="1"/>
  <c r="O46" i="17"/>
  <c r="N48" i="17"/>
  <c r="P48" i="17" s="1"/>
  <c r="O48" i="17"/>
  <c r="N168" i="17"/>
  <c r="P168" i="17" s="1"/>
  <c r="O168" i="17"/>
  <c r="O167" i="17"/>
  <c r="N167" i="17"/>
  <c r="P167" i="17" s="1"/>
  <c r="G12" i="18" l="1"/>
  <c r="I68" i="17" s="1"/>
  <c r="O209" i="17"/>
  <c r="P166" i="17"/>
  <c r="P160" i="17" s="1"/>
  <c r="P63" i="17"/>
  <c r="P60" i="17"/>
  <c r="P51" i="17"/>
  <c r="P47" i="17"/>
  <c r="P49" i="17"/>
  <c r="P45" i="17"/>
  <c r="P55" i="17"/>
  <c r="P23" i="17"/>
  <c r="M17" i="2"/>
  <c r="M19" i="2"/>
  <c r="M21" i="2"/>
  <c r="M22" i="2"/>
  <c r="M26" i="2"/>
  <c r="M28" i="2"/>
  <c r="M30" i="2"/>
  <c r="M31" i="2"/>
  <c r="M33" i="2"/>
  <c r="M36" i="2"/>
  <c r="M39" i="2"/>
  <c r="M40" i="2"/>
  <c r="M41" i="2"/>
  <c r="M43" i="2"/>
  <c r="M45" i="2"/>
  <c r="M46" i="2"/>
  <c r="M48" i="2"/>
  <c r="M51" i="2"/>
  <c r="M53" i="2"/>
  <c r="M55" i="2"/>
  <c r="M57" i="2"/>
  <c r="M59" i="2"/>
  <c r="M60" i="2"/>
  <c r="M62" i="2"/>
  <c r="M65" i="2"/>
  <c r="M68" i="2"/>
  <c r="M69" i="2"/>
  <c r="M115" i="2"/>
  <c r="M117" i="2"/>
  <c r="M120" i="2"/>
  <c r="M122" i="2"/>
  <c r="M124" i="2"/>
  <c r="M126" i="2"/>
  <c r="M129" i="2"/>
  <c r="M131" i="2"/>
  <c r="M132" i="2"/>
  <c r="M134" i="2"/>
  <c r="M135" i="2"/>
  <c r="M136" i="2"/>
  <c r="M138" i="2"/>
  <c r="M139" i="2"/>
  <c r="M141" i="2"/>
  <c r="M143" i="2"/>
  <c r="M145" i="2"/>
  <c r="M151" i="2"/>
  <c r="M153" i="2"/>
  <c r="M159" i="2"/>
  <c r="M161" i="2"/>
  <c r="M162" i="2"/>
  <c r="M164" i="2"/>
  <c r="M165" i="2"/>
  <c r="M166" i="2"/>
  <c r="M168" i="2"/>
  <c r="M170" i="2"/>
  <c r="M172" i="2"/>
  <c r="M174" i="2"/>
  <c r="M177" i="2"/>
  <c r="M179" i="2"/>
  <c r="M181" i="2"/>
  <c r="M183" i="2"/>
  <c r="M185" i="2"/>
  <c r="M186" i="2"/>
  <c r="M191" i="2"/>
  <c r="M192" i="2"/>
  <c r="M194" i="2"/>
  <c r="M195" i="2"/>
  <c r="M199" i="2"/>
  <c r="M206" i="2"/>
  <c r="M207" i="2"/>
  <c r="M210" i="2"/>
  <c r="M212" i="2"/>
  <c r="M214" i="2"/>
  <c r="M219" i="2"/>
  <c r="M220" i="2"/>
  <c r="M222" i="2"/>
  <c r="M227" i="2"/>
  <c r="M229" i="2"/>
  <c r="M232" i="2"/>
  <c r="M235" i="2"/>
  <c r="M237" i="2"/>
  <c r="M240" i="2"/>
  <c r="M242" i="2"/>
  <c r="M247" i="2"/>
  <c r="M249" i="2"/>
  <c r="M251" i="2"/>
  <c r="M253" i="2"/>
  <c r="M255" i="2"/>
  <c r="M259" i="2"/>
  <c r="M264" i="2"/>
  <c r="M266" i="2"/>
  <c r="M268" i="2"/>
  <c r="M271" i="2"/>
  <c r="M275" i="2"/>
  <c r="M278" i="2"/>
  <c r="M286" i="2"/>
  <c r="M287" i="2"/>
  <c r="M290" i="2"/>
  <c r="M297" i="2"/>
  <c r="M298" i="2"/>
  <c r="M300" i="2"/>
  <c r="M302" i="2"/>
  <c r="M303" i="2"/>
  <c r="P44" i="17" l="1"/>
  <c r="P68" i="17"/>
  <c r="P67" i="17" s="1"/>
  <c r="P66" i="17" s="1"/>
  <c r="O68" i="17"/>
  <c r="AG4" i="16"/>
  <c r="O210" i="17" l="1"/>
  <c r="O150" i="2"/>
  <c r="O149" i="2" l="1"/>
  <c r="O148" i="2"/>
  <c r="I154" i="2" l="1"/>
  <c r="O244" i="2" l="1"/>
  <c r="O245" i="2"/>
  <c r="O246" i="2"/>
  <c r="O243" i="2"/>
  <c r="O238" i="2" l="1"/>
  <c r="O234" i="2"/>
  <c r="O252" i="2"/>
  <c r="O221" i="2"/>
  <c r="I160" i="2"/>
  <c r="I163" i="2"/>
  <c r="O58" i="2"/>
  <c r="O54" i="2"/>
  <c r="O52" i="2"/>
  <c r="O50" i="2"/>
  <c r="N48" i="2"/>
  <c r="O47" i="2"/>
  <c r="O112" i="2"/>
  <c r="N113" i="2"/>
  <c r="O113" i="2"/>
  <c r="O188" i="2"/>
  <c r="O147" i="2" l="1"/>
  <c r="O56" i="2"/>
  <c r="O49" i="2"/>
  <c r="O114" i="2"/>
  <c r="O158" i="2" l="1"/>
  <c r="O157" i="2"/>
  <c r="O156" i="2"/>
  <c r="O155" i="2"/>
  <c r="O154" i="2"/>
  <c r="K18" i="2" l="1"/>
  <c r="O18" i="2" l="1"/>
  <c r="O260" i="2" l="1"/>
  <c r="N144" i="2"/>
  <c r="P143" i="2" s="1"/>
  <c r="O144" i="2"/>
  <c r="O111" i="2"/>
  <c r="O294" i="2"/>
  <c r="O293" i="2"/>
  <c r="O292" i="2"/>
  <c r="O296" i="2"/>
  <c r="O258" i="2"/>
  <c r="O257" i="2"/>
  <c r="O256" i="2"/>
  <c r="K96" i="2"/>
  <c r="I118" i="2"/>
  <c r="O236" i="2"/>
  <c r="I269" i="2"/>
  <c r="I270" i="2" s="1"/>
  <c r="I213" i="2"/>
  <c r="O262" i="2" l="1"/>
  <c r="O263" i="2"/>
  <c r="O261" i="2"/>
  <c r="O295" i="2"/>
  <c r="O248" i="2"/>
  <c r="O250" i="2"/>
  <c r="O233" i="2"/>
  <c r="O265" i="2"/>
  <c r="O239" i="2"/>
  <c r="O231" i="2"/>
  <c r="O230" i="2"/>
  <c r="N240" i="2"/>
  <c r="O241" i="2"/>
  <c r="N253" i="2"/>
  <c r="O254" i="2"/>
  <c r="O223" i="2"/>
  <c r="N139" i="2"/>
  <c r="N151" i="2"/>
  <c r="N141" i="2"/>
  <c r="N219" i="2"/>
  <c r="N227" i="2"/>
  <c r="O152" i="2"/>
  <c r="O142" i="2"/>
  <c r="O224" i="2"/>
  <c r="O225" i="2"/>
  <c r="O226" i="2"/>
  <c r="O228" i="2"/>
  <c r="O276" i="2"/>
  <c r="O274" i="2"/>
  <c r="O270" i="2"/>
  <c r="O267" i="2"/>
  <c r="N268" i="2"/>
  <c r="O269" i="2"/>
  <c r="O272" i="2"/>
  <c r="O273" i="2"/>
  <c r="N275" i="2"/>
  <c r="O277" i="2"/>
  <c r="N145" i="2"/>
  <c r="O146" i="2"/>
  <c r="O215" i="2"/>
  <c r="O216" i="2"/>
  <c r="O140" i="2"/>
  <c r="O213" i="2"/>
  <c r="O70" i="2" l="1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I67" i="2"/>
  <c r="K301" i="2" l="1"/>
  <c r="O301" i="2" s="1"/>
  <c r="K300" i="2"/>
  <c r="K299" i="2"/>
  <c r="O299" i="2" s="1"/>
  <c r="K298" i="2"/>
  <c r="K297" i="2"/>
  <c r="K217" i="2"/>
  <c r="O217" i="2" s="1"/>
  <c r="K218" i="2"/>
  <c r="K304" i="2"/>
  <c r="K303" i="2"/>
  <c r="K133" i="2"/>
  <c r="O133" i="2" s="1"/>
  <c r="K132" i="2"/>
  <c r="K302" i="2"/>
  <c r="K211" i="2"/>
  <c r="O211" i="2" s="1"/>
  <c r="K210" i="2"/>
  <c r="K209" i="2"/>
  <c r="K208" i="2"/>
  <c r="O208" i="2" s="1"/>
  <c r="K207" i="2"/>
  <c r="K206" i="2"/>
  <c r="K160" i="2"/>
  <c r="K130" i="2"/>
  <c r="O130" i="2" s="1"/>
  <c r="K129" i="2"/>
  <c r="K128" i="2"/>
  <c r="K127" i="2"/>
  <c r="O127" i="2" s="1"/>
  <c r="K126" i="2"/>
  <c r="K125" i="2"/>
  <c r="O125" i="2" s="1"/>
  <c r="K124" i="2"/>
  <c r="K123" i="2"/>
  <c r="K122" i="2"/>
  <c r="K121" i="2"/>
  <c r="K120" i="2"/>
  <c r="K119" i="2"/>
  <c r="K118" i="2"/>
  <c r="O118" i="2" s="1"/>
  <c r="K117" i="2"/>
  <c r="K116" i="2"/>
  <c r="O116" i="2" s="1"/>
  <c r="K115" i="2"/>
  <c r="K110" i="2"/>
  <c r="O110" i="2" s="1"/>
  <c r="K69" i="2"/>
  <c r="K285" i="2"/>
  <c r="O285" i="2" s="1"/>
  <c r="K284" i="2"/>
  <c r="O284" i="2" s="1"/>
  <c r="K283" i="2"/>
  <c r="O283" i="2" s="1"/>
  <c r="K282" i="2"/>
  <c r="K281" i="2"/>
  <c r="K280" i="2"/>
  <c r="O280" i="2" s="1"/>
  <c r="K279" i="2"/>
  <c r="O279" i="2" s="1"/>
  <c r="K278" i="2"/>
  <c r="K291" i="2"/>
  <c r="K290" i="2"/>
  <c r="K289" i="2"/>
  <c r="O289" i="2" s="1"/>
  <c r="K288" i="2"/>
  <c r="K287" i="2"/>
  <c r="K286" i="2"/>
  <c r="K205" i="2"/>
  <c r="K204" i="2"/>
  <c r="O204" i="2" s="1"/>
  <c r="K203" i="2"/>
  <c r="K202" i="2"/>
  <c r="K201" i="2"/>
  <c r="K200" i="2"/>
  <c r="K199" i="2"/>
  <c r="K198" i="2"/>
  <c r="K197" i="2"/>
  <c r="K196" i="2"/>
  <c r="K195" i="2"/>
  <c r="K137" i="2"/>
  <c r="K136" i="2"/>
  <c r="K194" i="2"/>
  <c r="K193" i="2"/>
  <c r="K192" i="2"/>
  <c r="K191" i="2"/>
  <c r="K190" i="2"/>
  <c r="K189" i="2"/>
  <c r="K187" i="2"/>
  <c r="O187" i="2" s="1"/>
  <c r="K186" i="2"/>
  <c r="K185" i="2"/>
  <c r="K67" i="2"/>
  <c r="K66" i="2"/>
  <c r="O66" i="2" s="1"/>
  <c r="K65" i="2"/>
  <c r="K64" i="2"/>
  <c r="O64" i="2" s="1"/>
  <c r="K63" i="2"/>
  <c r="O63" i="2" s="1"/>
  <c r="K62" i="2"/>
  <c r="K163" i="2"/>
  <c r="O163" i="2" s="1"/>
  <c r="K162" i="2"/>
  <c r="K61" i="2"/>
  <c r="O61" i="2" s="1"/>
  <c r="K60" i="2"/>
  <c r="K59" i="2"/>
  <c r="K184" i="2"/>
  <c r="K183" i="2"/>
  <c r="K182" i="2"/>
  <c r="K181" i="2"/>
  <c r="K180" i="2"/>
  <c r="O180" i="2" s="1"/>
  <c r="K179" i="2"/>
  <c r="K178" i="2"/>
  <c r="O178" i="2" s="1"/>
  <c r="K177" i="2"/>
  <c r="K176" i="2"/>
  <c r="O176" i="2" s="1"/>
  <c r="K175" i="2"/>
  <c r="O175" i="2" s="1"/>
  <c r="K174" i="2"/>
  <c r="N174" i="2" s="1"/>
  <c r="K173" i="2"/>
  <c r="K172" i="2"/>
  <c r="K171" i="2"/>
  <c r="O171" i="2" s="1"/>
  <c r="K170" i="2"/>
  <c r="K169" i="2"/>
  <c r="O169" i="2" s="1"/>
  <c r="K168" i="2"/>
  <c r="K167" i="2"/>
  <c r="K166" i="2"/>
  <c r="K165" i="2"/>
  <c r="K44" i="2"/>
  <c r="K43" i="2"/>
  <c r="K42" i="2"/>
  <c r="K41" i="2"/>
  <c r="K40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7" i="2"/>
  <c r="K16" i="2"/>
  <c r="M15" i="2"/>
  <c r="K15" i="2"/>
  <c r="O184" i="2" l="1"/>
  <c r="O24" i="2"/>
  <c r="O167" i="2"/>
  <c r="O35" i="2"/>
  <c r="O34" i="2"/>
  <c r="I201" i="2"/>
  <c r="O201" i="2" s="1"/>
  <c r="O304" i="2"/>
  <c r="O44" i="2"/>
  <c r="O128" i="2"/>
  <c r="O281" i="2"/>
  <c r="O282" i="2"/>
  <c r="O218" i="2"/>
  <c r="O202" i="2"/>
  <c r="O67" i="2"/>
  <c r="O121" i="2"/>
  <c r="O20" i="2"/>
  <c r="O193" i="2"/>
  <c r="O23" i="2"/>
  <c r="O25" i="2"/>
  <c r="O16" i="2"/>
  <c r="O37" i="2"/>
  <c r="O203" i="2"/>
  <c r="O27" i="2"/>
  <c r="O42" i="2"/>
  <c r="O288" i="2"/>
  <c r="O38" i="2"/>
  <c r="O182" i="2"/>
  <c r="O29" i="2"/>
  <c r="O119" i="2"/>
  <c r="O32" i="2"/>
  <c r="O291" i="2"/>
  <c r="O173" i="2"/>
  <c r="O205" i="2"/>
  <c r="O190" i="2"/>
  <c r="O160" i="2"/>
  <c r="O189" i="2"/>
  <c r="O137" i="2"/>
  <c r="O123" i="2"/>
  <c r="O209" i="2"/>
  <c r="O200" i="2" l="1"/>
  <c r="O198" i="2"/>
  <c r="O197" i="2"/>
  <c r="O196" i="2"/>
  <c r="O305" i="2" l="1"/>
  <c r="F1" i="16" s="1"/>
  <c r="C8" i="16" l="1" a="1"/>
  <c r="C23" i="16" a="1"/>
  <c r="C9" i="16" a="1"/>
  <c r="C10" i="16" a="1"/>
  <c r="C11" i="16" a="1"/>
  <c r="C12" i="16" a="1"/>
  <c r="C24" i="16" a="1"/>
  <c r="C25" i="16" a="1"/>
  <c r="C22" i="16" a="1"/>
  <c r="C26" i="16" a="1"/>
  <c r="C31" i="16" l="1"/>
  <c r="M105" i="17" s="1"/>
  <c r="N105" i="17" s="1"/>
  <c r="P105" i="17" s="1"/>
  <c r="P77" i="17" s="1"/>
  <c r="C17" i="16"/>
  <c r="M109" i="17" l="1"/>
  <c r="N109" i="17" s="1"/>
  <c r="P109" i="17" s="1"/>
  <c r="P108" i="17" s="1"/>
  <c r="M76" i="17"/>
  <c r="N76" i="17" s="1"/>
  <c r="P76" i="17" s="1"/>
  <c r="M111" i="17"/>
  <c r="N111" i="17" s="1"/>
  <c r="P111" i="17" s="1"/>
  <c r="P110" i="17" s="1"/>
  <c r="M75" i="17"/>
  <c r="N75" i="17" s="1"/>
  <c r="P75" i="17" s="1"/>
  <c r="M209" i="17"/>
  <c r="N209" i="17" s="1"/>
  <c r="P209" i="17" s="1"/>
  <c r="P208" i="17" s="1"/>
  <c r="M199" i="17"/>
  <c r="N199" i="17" s="1"/>
  <c r="P199" i="17" s="1"/>
  <c r="M202" i="17"/>
  <c r="N202" i="17" s="1"/>
  <c r="P202" i="17" s="1"/>
  <c r="M201" i="17"/>
  <c r="N201" i="17" s="1"/>
  <c r="P201" i="17" s="1"/>
  <c r="M192" i="17"/>
  <c r="N192" i="17" s="1"/>
  <c r="P192" i="17" s="1"/>
  <c r="M190" i="17"/>
  <c r="N190" i="17" s="1"/>
  <c r="P190" i="17" s="1"/>
  <c r="M198" i="17"/>
  <c r="N198" i="17" s="1"/>
  <c r="P198" i="17" s="1"/>
  <c r="M207" i="17"/>
  <c r="N207" i="17" s="1"/>
  <c r="P207" i="17" s="1"/>
  <c r="P206" i="17" s="1"/>
  <c r="M205" i="17"/>
  <c r="N205" i="17" s="1"/>
  <c r="P205" i="17" s="1"/>
  <c r="P204" i="17" s="1"/>
  <c r="M203" i="17"/>
  <c r="N203" i="17" s="1"/>
  <c r="P203" i="17" s="1"/>
  <c r="M31" i="17"/>
  <c r="N31" i="17" s="1"/>
  <c r="P31" i="17" s="1"/>
  <c r="P30" i="17" s="1"/>
  <c r="M28" i="17"/>
  <c r="N28" i="17" s="1"/>
  <c r="P28" i="17" s="1"/>
  <c r="P27" i="17" s="1"/>
  <c r="M26" i="17"/>
  <c r="N26" i="17" s="1"/>
  <c r="P26" i="17" s="1"/>
  <c r="P25" i="17" s="1"/>
  <c r="M43" i="17"/>
  <c r="N43" i="17" s="1"/>
  <c r="P43" i="17" s="1"/>
  <c r="P42" i="17" s="1"/>
  <c r="P58" i="17"/>
  <c r="P57" i="17" s="1"/>
  <c r="M22" i="17"/>
  <c r="N22" i="17" s="1"/>
  <c r="P22" i="17" s="1"/>
  <c r="P21" i="17" s="1"/>
  <c r="M41" i="17"/>
  <c r="N41" i="17" s="1"/>
  <c r="P41" i="17" s="1"/>
  <c r="P40" i="17" s="1"/>
  <c r="M36" i="17"/>
  <c r="N36" i="17" s="1"/>
  <c r="P36" i="17" s="1"/>
  <c r="M196" i="17"/>
  <c r="N196" i="17" s="1"/>
  <c r="P196" i="17" s="1"/>
  <c r="M174" i="17"/>
  <c r="N174" i="17" s="1"/>
  <c r="P174" i="17" s="1"/>
  <c r="P173" i="17" s="1"/>
  <c r="M195" i="17"/>
  <c r="N195" i="17" s="1"/>
  <c r="P195" i="17" s="1"/>
  <c r="M34" i="17"/>
  <c r="N34" i="17" s="1"/>
  <c r="P34" i="17" s="1"/>
  <c r="M194" i="17"/>
  <c r="N194" i="17" s="1"/>
  <c r="P194" i="17" s="1"/>
  <c r="M33" i="17"/>
  <c r="N33" i="17" s="1"/>
  <c r="P33" i="17" s="1"/>
  <c r="M193" i="17"/>
  <c r="N193" i="17" s="1"/>
  <c r="P193" i="17" s="1"/>
  <c r="M189" i="17"/>
  <c r="N189" i="17" s="1"/>
  <c r="P189" i="17" s="1"/>
  <c r="M185" i="17"/>
  <c r="N185" i="17" s="1"/>
  <c r="P185" i="17" s="1"/>
  <c r="P184" i="17" s="1"/>
  <c r="M187" i="17"/>
  <c r="N187" i="17" s="1"/>
  <c r="P187" i="17" s="1"/>
  <c r="P186" i="17" s="1"/>
  <c r="M183" i="17"/>
  <c r="N183" i="17" s="1"/>
  <c r="P183" i="17" s="1"/>
  <c r="P182" i="17" s="1"/>
  <c r="M181" i="17"/>
  <c r="N181" i="17" s="1"/>
  <c r="P181" i="17" s="1"/>
  <c r="P180" i="17" s="1"/>
  <c r="M179" i="17"/>
  <c r="N179" i="17" s="1"/>
  <c r="P179" i="17" s="1"/>
  <c r="M178" i="17"/>
  <c r="N178" i="17" s="1"/>
  <c r="P178" i="17" s="1"/>
  <c r="M19" i="17"/>
  <c r="N19" i="17" s="1"/>
  <c r="P19" i="17" s="1"/>
  <c r="P18" i="17" s="1"/>
  <c r="M176" i="17"/>
  <c r="N176" i="17" s="1"/>
  <c r="P176" i="17" s="1"/>
  <c r="P175" i="17" s="1"/>
  <c r="M37" i="17"/>
  <c r="N37" i="17" s="1"/>
  <c r="P37" i="17" s="1"/>
  <c r="M17" i="17"/>
  <c r="N17" i="17" s="1"/>
  <c r="P17" i="17" s="1"/>
  <c r="P16" i="17" s="1"/>
  <c r="M137" i="2"/>
  <c r="N137" i="2" s="1"/>
  <c r="P137" i="2" s="1"/>
  <c r="P136" i="2" s="1"/>
  <c r="P135" i="2" s="1"/>
  <c r="M197" i="2"/>
  <c r="N197" i="2" s="1"/>
  <c r="P197" i="2" s="1"/>
  <c r="M217" i="2"/>
  <c r="N217" i="2" s="1"/>
  <c r="P217" i="2" s="1"/>
  <c r="M277" i="2"/>
  <c r="N277" i="2" s="1"/>
  <c r="P277" i="2" s="1"/>
  <c r="M58" i="2"/>
  <c r="N58" i="2" s="1"/>
  <c r="P58" i="2" s="1"/>
  <c r="P57" i="2" s="1"/>
  <c r="M118" i="2"/>
  <c r="N118" i="2" s="1"/>
  <c r="P118" i="2" s="1"/>
  <c r="M178" i="2"/>
  <c r="N178" i="2" s="1"/>
  <c r="P178" i="2" s="1"/>
  <c r="P177" i="2" s="1"/>
  <c r="M198" i="2"/>
  <c r="N198" i="2" s="1"/>
  <c r="P198" i="2" s="1"/>
  <c r="M218" i="2"/>
  <c r="N218" i="2" s="1"/>
  <c r="P218" i="2" s="1"/>
  <c r="M61" i="2"/>
  <c r="N61" i="2" s="1"/>
  <c r="P61" i="2" s="1"/>
  <c r="P60" i="2" s="1"/>
  <c r="M121" i="2"/>
  <c r="N121" i="2" s="1"/>
  <c r="P121" i="2" s="1"/>
  <c r="P120" i="2" s="1"/>
  <c r="M201" i="2"/>
  <c r="N201" i="2" s="1"/>
  <c r="P201" i="2" s="1"/>
  <c r="M142" i="2"/>
  <c r="N142" i="2" s="1"/>
  <c r="P142" i="2" s="1"/>
  <c r="P141" i="2" s="1"/>
  <c r="M202" i="2"/>
  <c r="N202" i="2" s="1"/>
  <c r="P202" i="2" s="1"/>
  <c r="M44" i="2"/>
  <c r="N44" i="2" s="1"/>
  <c r="P44" i="2" s="1"/>
  <c r="P43" i="2" s="1"/>
  <c r="M205" i="2"/>
  <c r="N205" i="2" s="1"/>
  <c r="P205" i="2" s="1"/>
  <c r="M304" i="2"/>
  <c r="N304" i="2" s="1"/>
  <c r="P304" i="2" s="1"/>
  <c r="P303" i="2" s="1"/>
  <c r="P302" i="2" s="1"/>
  <c r="M127" i="2"/>
  <c r="N127" i="2" s="1"/>
  <c r="P127" i="2" s="1"/>
  <c r="M188" i="2"/>
  <c r="N188" i="2" s="1"/>
  <c r="P188" i="2" s="1"/>
  <c r="M169" i="2"/>
  <c r="N169" i="2" s="1"/>
  <c r="P169" i="2" s="1"/>
  <c r="P168" i="2" s="1"/>
  <c r="M110" i="2"/>
  <c r="N110" i="2" s="1"/>
  <c r="P110" i="2" s="1"/>
  <c r="M270" i="2"/>
  <c r="N270" i="2" s="1"/>
  <c r="P270" i="2" s="1"/>
  <c r="M291" i="2"/>
  <c r="N291" i="2" s="1"/>
  <c r="P291" i="2" s="1"/>
  <c r="M272" i="2"/>
  <c r="N272" i="2" s="1"/>
  <c r="P272" i="2" s="1"/>
  <c r="M193" i="2"/>
  <c r="N193" i="2" s="1"/>
  <c r="P193" i="2" s="1"/>
  <c r="P192" i="2" s="1"/>
  <c r="P191" i="2" s="1"/>
  <c r="M274" i="2"/>
  <c r="N274" i="2" s="1"/>
  <c r="P274" i="2" s="1"/>
  <c r="M215" i="2"/>
  <c r="N215" i="2" s="1"/>
  <c r="P215" i="2" s="1"/>
  <c r="M56" i="2"/>
  <c r="N56" i="2" s="1"/>
  <c r="P56" i="2" s="1"/>
  <c r="P55" i="2" s="1"/>
  <c r="M176" i="2"/>
  <c r="N176" i="2" s="1"/>
  <c r="P176" i="2" s="1"/>
  <c r="M276" i="2"/>
  <c r="N276" i="2" s="1"/>
  <c r="P276" i="2" s="1"/>
  <c r="M27" i="2"/>
  <c r="N27" i="2" s="1"/>
  <c r="P27" i="2" s="1"/>
  <c r="P26" i="2" s="1"/>
  <c r="M213" i="2"/>
  <c r="N213" i="2" s="1"/>
  <c r="P213" i="2" s="1"/>
  <c r="P212" i="2" s="1"/>
  <c r="M116" i="2"/>
  <c r="N116" i="2" s="1"/>
  <c r="P116" i="2" s="1"/>
  <c r="P115" i="2" s="1"/>
  <c r="M216" i="2"/>
  <c r="N216" i="2" s="1"/>
  <c r="P216" i="2" s="1"/>
  <c r="M119" i="2"/>
  <c r="N119" i="2" s="1"/>
  <c r="P119" i="2" s="1"/>
  <c r="M279" i="2"/>
  <c r="N279" i="2" s="1"/>
  <c r="P279" i="2" s="1"/>
  <c r="M140" i="2"/>
  <c r="N140" i="2" s="1"/>
  <c r="P140" i="2" s="1"/>
  <c r="P139" i="2" s="1"/>
  <c r="M160" i="2"/>
  <c r="N160" i="2" s="1"/>
  <c r="P160" i="2" s="1"/>
  <c r="P159" i="2" s="1"/>
  <c r="M180" i="2"/>
  <c r="N180" i="2" s="1"/>
  <c r="P180" i="2" s="1"/>
  <c r="P179" i="2" s="1"/>
  <c r="M200" i="2"/>
  <c r="N200" i="2" s="1"/>
  <c r="P200" i="2" s="1"/>
  <c r="M280" i="2"/>
  <c r="N280" i="2" s="1"/>
  <c r="P280" i="2" s="1"/>
  <c r="M299" i="2"/>
  <c r="N299" i="2" s="1"/>
  <c r="P299" i="2" s="1"/>
  <c r="P298" i="2" s="1"/>
  <c r="M281" i="2"/>
  <c r="N281" i="2" s="1"/>
  <c r="P281" i="2" s="1"/>
  <c r="M42" i="2"/>
  <c r="N42" i="2" s="1"/>
  <c r="P42" i="2" s="1"/>
  <c r="P41" i="2" s="1"/>
  <c r="M182" i="2"/>
  <c r="N182" i="2" s="1"/>
  <c r="P182" i="2" s="1"/>
  <c r="P181" i="2" s="1"/>
  <c r="M282" i="2"/>
  <c r="N282" i="2" s="1"/>
  <c r="P282" i="2" s="1"/>
  <c r="M123" i="2"/>
  <c r="N123" i="2" s="1"/>
  <c r="P123" i="2" s="1"/>
  <c r="P122" i="2" s="1"/>
  <c r="M203" i="2"/>
  <c r="N203" i="2" s="1"/>
  <c r="P203" i="2" s="1"/>
  <c r="M24" i="2"/>
  <c r="N24" i="2" s="1"/>
  <c r="P24" i="2" s="1"/>
  <c r="M204" i="2"/>
  <c r="N204" i="2" s="1"/>
  <c r="P204" i="2" s="1"/>
  <c r="M284" i="2"/>
  <c r="N284" i="2" s="1"/>
  <c r="P284" i="2" s="1"/>
  <c r="M285" i="2"/>
  <c r="N285" i="2" s="1"/>
  <c r="P285" i="2" s="1"/>
  <c r="M66" i="2"/>
  <c r="N66" i="2" s="1"/>
  <c r="P66" i="2" s="1"/>
  <c r="M146" i="2"/>
  <c r="N146" i="2" s="1"/>
  <c r="P146" i="2" s="1"/>
  <c r="P145" i="2" s="1"/>
  <c r="M47" i="2"/>
  <c r="N47" i="2" s="1"/>
  <c r="P47" i="2" s="1"/>
  <c r="P46" i="2" s="1"/>
  <c r="M167" i="2"/>
  <c r="N167" i="2" s="1"/>
  <c r="P167" i="2" s="1"/>
  <c r="P166" i="2" s="1"/>
  <c r="M29" i="2"/>
  <c r="N29" i="2" s="1"/>
  <c r="P29" i="2" s="1"/>
  <c r="P28" i="2" s="1"/>
  <c r="M209" i="2"/>
  <c r="N209" i="2" s="1"/>
  <c r="P209" i="2" s="1"/>
  <c r="M50" i="2"/>
  <c r="N50" i="2" s="1"/>
  <c r="P50" i="2" s="1"/>
  <c r="M211" i="2"/>
  <c r="N211" i="2" s="1"/>
  <c r="P211" i="2" s="1"/>
  <c r="P210" i="2" s="1"/>
  <c r="M54" i="2"/>
  <c r="N54" i="2" s="1"/>
  <c r="P54" i="2" s="1"/>
  <c r="P53" i="2" s="1"/>
  <c r="M196" i="2"/>
  <c r="N196" i="2" s="1"/>
  <c r="P196" i="2" s="1"/>
  <c r="M283" i="2"/>
  <c r="N283" i="2" s="1"/>
  <c r="P283" i="2" s="1"/>
  <c r="M184" i="2"/>
  <c r="N184" i="2" s="1"/>
  <c r="P184" i="2" s="1"/>
  <c r="P183" i="2" s="1"/>
  <c r="M16" i="2"/>
  <c r="N16" i="2" s="1"/>
  <c r="P16" i="2" s="1"/>
  <c r="P15" i="2" s="1"/>
  <c r="M187" i="2"/>
  <c r="N187" i="2" s="1"/>
  <c r="P187" i="2" s="1"/>
  <c r="M267" i="2"/>
  <c r="N267" i="2" s="1"/>
  <c r="P267" i="2" s="1"/>
  <c r="P266" i="2" s="1"/>
  <c r="M49" i="2"/>
  <c r="N49" i="2" s="1"/>
  <c r="P49" i="2" s="1"/>
  <c r="M189" i="2"/>
  <c r="N189" i="2" s="1"/>
  <c r="P189" i="2" s="1"/>
  <c r="M269" i="2"/>
  <c r="N269" i="2" s="1"/>
  <c r="P269" i="2" s="1"/>
  <c r="M130" i="2"/>
  <c r="N130" i="2" s="1"/>
  <c r="P130" i="2" s="1"/>
  <c r="M52" i="2"/>
  <c r="N52" i="2" s="1"/>
  <c r="P52" i="2" s="1"/>
  <c r="P51" i="2" s="1"/>
  <c r="M152" i="2"/>
  <c r="N152" i="2" s="1"/>
  <c r="P152" i="2" s="1"/>
  <c r="P151" i="2" s="1"/>
  <c r="M173" i="2"/>
  <c r="N173" i="2" s="1"/>
  <c r="P173" i="2" s="1"/>
  <c r="P172" i="2" s="1"/>
  <c r="M23" i="2"/>
  <c r="N23" i="2" s="1"/>
  <c r="P23" i="2" s="1"/>
  <c r="M63" i="2"/>
  <c r="N63" i="2" s="1"/>
  <c r="P63" i="2" s="1"/>
  <c r="M163" i="2"/>
  <c r="N163" i="2" s="1"/>
  <c r="P163" i="2" s="1"/>
  <c r="P162" i="2" s="1"/>
  <c r="P161" i="2" s="1"/>
  <c r="M64" i="2"/>
  <c r="N64" i="2" s="1"/>
  <c r="P64" i="2" s="1"/>
  <c r="M25" i="2"/>
  <c r="N25" i="2" s="1"/>
  <c r="P25" i="2" s="1"/>
  <c r="M125" i="2"/>
  <c r="N125" i="2" s="1"/>
  <c r="P125" i="2" s="1"/>
  <c r="P124" i="2" s="1"/>
  <c r="M265" i="2"/>
  <c r="N265" i="2" s="1"/>
  <c r="P265" i="2" s="1"/>
  <c r="P264" i="2" s="1"/>
  <c r="M67" i="2"/>
  <c r="N67" i="2" s="1"/>
  <c r="P67" i="2" s="1"/>
  <c r="M128" i="2"/>
  <c r="N128" i="2" s="1"/>
  <c r="P128" i="2" s="1"/>
  <c r="M208" i="2"/>
  <c r="N208" i="2" s="1"/>
  <c r="P208" i="2" s="1"/>
  <c r="M288" i="2"/>
  <c r="N288" i="2" s="1"/>
  <c r="P288" i="2" s="1"/>
  <c r="M289" i="2"/>
  <c r="N289" i="2" s="1"/>
  <c r="P289" i="2" s="1"/>
  <c r="M190" i="2"/>
  <c r="N190" i="2" s="1"/>
  <c r="P190" i="2" s="1"/>
  <c r="M171" i="2"/>
  <c r="N171" i="2" s="1"/>
  <c r="P171" i="2" s="1"/>
  <c r="P170" i="2" s="1"/>
  <c r="M32" i="2"/>
  <c r="N32" i="2" s="1"/>
  <c r="P32" i="2" s="1"/>
  <c r="P31" i="2" s="1"/>
  <c r="M273" i="2"/>
  <c r="N273" i="2" s="1"/>
  <c r="P273" i="2" s="1"/>
  <c r="M175" i="2"/>
  <c r="N175" i="2" s="1"/>
  <c r="P175" i="2" s="1"/>
  <c r="M37" i="2"/>
  <c r="N37" i="2" s="1"/>
  <c r="P37" i="2" s="1"/>
  <c r="M77" i="2"/>
  <c r="N77" i="2" s="1"/>
  <c r="P77" i="2" s="1"/>
  <c r="M97" i="2"/>
  <c r="N97" i="2" s="1"/>
  <c r="P97" i="2" s="1"/>
  <c r="M157" i="2"/>
  <c r="N157" i="2" s="1"/>
  <c r="P157" i="2" s="1"/>
  <c r="M257" i="2"/>
  <c r="N257" i="2" s="1"/>
  <c r="P257" i="2" s="1"/>
  <c r="M296" i="2"/>
  <c r="N296" i="2" s="1"/>
  <c r="P296" i="2" s="1"/>
  <c r="M18" i="2"/>
  <c r="N18" i="2" s="1"/>
  <c r="P18" i="2" s="1"/>
  <c r="P17" i="2" s="1"/>
  <c r="M38" i="2"/>
  <c r="N38" i="2" s="1"/>
  <c r="P38" i="2" s="1"/>
  <c r="M78" i="2"/>
  <c r="N78" i="2" s="1"/>
  <c r="P78" i="2" s="1"/>
  <c r="M98" i="2"/>
  <c r="N98" i="2" s="1"/>
  <c r="P98" i="2" s="1"/>
  <c r="M158" i="2"/>
  <c r="N158" i="2" s="1"/>
  <c r="P158" i="2" s="1"/>
  <c r="M238" i="2"/>
  <c r="N238" i="2" s="1"/>
  <c r="P238" i="2" s="1"/>
  <c r="M258" i="2"/>
  <c r="N258" i="2" s="1"/>
  <c r="P258" i="2" s="1"/>
  <c r="M101" i="2"/>
  <c r="N101" i="2" s="1"/>
  <c r="P101" i="2" s="1"/>
  <c r="M261" i="2"/>
  <c r="N261" i="2" s="1"/>
  <c r="P261" i="2" s="1"/>
  <c r="M82" i="2"/>
  <c r="N82" i="2" s="1"/>
  <c r="P82" i="2" s="1"/>
  <c r="M102" i="2"/>
  <c r="N102" i="2" s="1"/>
  <c r="P102" i="2" s="1"/>
  <c r="M262" i="2"/>
  <c r="N262" i="2" s="1"/>
  <c r="P262" i="2" s="1"/>
  <c r="M103" i="2"/>
  <c r="N103" i="2" s="1"/>
  <c r="P103" i="2" s="1"/>
  <c r="M243" i="2"/>
  <c r="N243" i="2" s="1"/>
  <c r="P243" i="2" s="1"/>
  <c r="M144" i="2"/>
  <c r="M244" i="2"/>
  <c r="N244" i="2" s="1"/>
  <c r="P244" i="2" s="1"/>
  <c r="M85" i="2"/>
  <c r="N85" i="2" s="1"/>
  <c r="P85" i="2" s="1"/>
  <c r="M86" i="2"/>
  <c r="N86" i="2" s="1"/>
  <c r="P86" i="2" s="1"/>
  <c r="M226" i="2"/>
  <c r="N226" i="2" s="1"/>
  <c r="P226" i="2" s="1"/>
  <c r="M87" i="2"/>
  <c r="N87" i="2" s="1"/>
  <c r="P87" i="2" s="1"/>
  <c r="M108" i="2"/>
  <c r="N108" i="2" s="1"/>
  <c r="P108" i="2" s="1"/>
  <c r="M109" i="2"/>
  <c r="N109" i="2" s="1"/>
  <c r="P109" i="2" s="1"/>
  <c r="M71" i="2"/>
  <c r="N71" i="2" s="1"/>
  <c r="P71" i="2" s="1"/>
  <c r="M231" i="2"/>
  <c r="N231" i="2" s="1"/>
  <c r="P231" i="2" s="1"/>
  <c r="M92" i="2"/>
  <c r="N92" i="2" s="1"/>
  <c r="P92" i="2" s="1"/>
  <c r="M73" i="2"/>
  <c r="N73" i="2" s="1"/>
  <c r="P73" i="2" s="1"/>
  <c r="M292" i="2"/>
  <c r="N292" i="2" s="1"/>
  <c r="P292" i="2" s="1"/>
  <c r="M74" i="2"/>
  <c r="N74" i="2" s="1"/>
  <c r="P74" i="2" s="1"/>
  <c r="M75" i="2"/>
  <c r="N75" i="2" s="1"/>
  <c r="P75" i="2" s="1"/>
  <c r="M155" i="2"/>
  <c r="N155" i="2" s="1"/>
  <c r="P155" i="2" s="1"/>
  <c r="M112" i="2"/>
  <c r="N112" i="2" s="1"/>
  <c r="P112" i="2" s="1"/>
  <c r="M113" i="2"/>
  <c r="M114" i="2"/>
  <c r="N114" i="2" s="1"/>
  <c r="P114" i="2" s="1"/>
  <c r="M294" i="2"/>
  <c r="N294" i="2" s="1"/>
  <c r="P294" i="2" s="1"/>
  <c r="M79" i="2"/>
  <c r="N79" i="2" s="1"/>
  <c r="P79" i="2" s="1"/>
  <c r="M99" i="2"/>
  <c r="N99" i="2" s="1"/>
  <c r="P99" i="2" s="1"/>
  <c r="M239" i="2"/>
  <c r="N239" i="2" s="1"/>
  <c r="P239" i="2" s="1"/>
  <c r="P237" i="2" s="1"/>
  <c r="M20" i="2"/>
  <c r="N20" i="2" s="1"/>
  <c r="P20" i="2" s="1"/>
  <c r="P19" i="2" s="1"/>
  <c r="M80" i="2"/>
  <c r="N80" i="2" s="1"/>
  <c r="P80" i="2" s="1"/>
  <c r="M100" i="2"/>
  <c r="N100" i="2" s="1"/>
  <c r="P100" i="2" s="1"/>
  <c r="M260" i="2"/>
  <c r="N260" i="2" s="1"/>
  <c r="P260" i="2" s="1"/>
  <c r="M81" i="2"/>
  <c r="N81" i="2" s="1"/>
  <c r="P81" i="2" s="1"/>
  <c r="M241" i="2"/>
  <c r="N241" i="2" s="1"/>
  <c r="P241" i="2" s="1"/>
  <c r="P240" i="2" s="1"/>
  <c r="M104" i="2"/>
  <c r="N104" i="2" s="1"/>
  <c r="P104" i="2" s="1"/>
  <c r="M105" i="2"/>
  <c r="N105" i="2" s="1"/>
  <c r="P105" i="2" s="1"/>
  <c r="M225" i="2"/>
  <c r="N225" i="2" s="1"/>
  <c r="P225" i="2" s="1"/>
  <c r="M246" i="2"/>
  <c r="N246" i="2" s="1"/>
  <c r="P246" i="2" s="1"/>
  <c r="M248" i="2"/>
  <c r="N248" i="2" s="1"/>
  <c r="P248" i="2" s="1"/>
  <c r="P247" i="2" s="1"/>
  <c r="M150" i="2"/>
  <c r="N150" i="2" s="1"/>
  <c r="P150" i="2" s="1"/>
  <c r="M250" i="2"/>
  <c r="N250" i="2" s="1"/>
  <c r="P250" i="2" s="1"/>
  <c r="P249" i="2" s="1"/>
  <c r="M72" i="2"/>
  <c r="N72" i="2" s="1"/>
  <c r="P72" i="2" s="1"/>
  <c r="M233" i="2"/>
  <c r="N233" i="2" s="1"/>
  <c r="P233" i="2" s="1"/>
  <c r="M154" i="2"/>
  <c r="N154" i="2" s="1"/>
  <c r="P154" i="2" s="1"/>
  <c r="M254" i="2"/>
  <c r="N254" i="2" s="1"/>
  <c r="P254" i="2" s="1"/>
  <c r="P253" i="2" s="1"/>
  <c r="M76" i="2"/>
  <c r="N76" i="2" s="1"/>
  <c r="P76" i="2" s="1"/>
  <c r="M295" i="2"/>
  <c r="N295" i="2" s="1"/>
  <c r="P295" i="2" s="1"/>
  <c r="M221" i="2"/>
  <c r="N221" i="2" s="1"/>
  <c r="P221" i="2" s="1"/>
  <c r="M301" i="2"/>
  <c r="N301" i="2" s="1"/>
  <c r="P301" i="2" s="1"/>
  <c r="P300" i="2" s="1"/>
  <c r="M223" i="2"/>
  <c r="N223" i="2" s="1"/>
  <c r="P223" i="2" s="1"/>
  <c r="M84" i="2"/>
  <c r="N84" i="2" s="1"/>
  <c r="P84" i="2" s="1"/>
  <c r="M245" i="2"/>
  <c r="N245" i="2" s="1"/>
  <c r="P245" i="2" s="1"/>
  <c r="M106" i="2"/>
  <c r="N106" i="2" s="1"/>
  <c r="P106" i="2" s="1"/>
  <c r="M107" i="2"/>
  <c r="N107" i="2" s="1"/>
  <c r="P107" i="2" s="1"/>
  <c r="M148" i="2"/>
  <c r="N148" i="2" s="1"/>
  <c r="P148" i="2" s="1"/>
  <c r="M228" i="2"/>
  <c r="N228" i="2" s="1"/>
  <c r="P228" i="2" s="1"/>
  <c r="P227" i="2" s="1"/>
  <c r="M70" i="2"/>
  <c r="N70" i="2" s="1"/>
  <c r="P70" i="2" s="1"/>
  <c r="M230" i="2"/>
  <c r="N230" i="2" s="1"/>
  <c r="P230" i="2" s="1"/>
  <c r="M111" i="2"/>
  <c r="N111" i="2" s="1"/>
  <c r="P111" i="2" s="1"/>
  <c r="M252" i="2"/>
  <c r="N252" i="2" s="1"/>
  <c r="P252" i="2" s="1"/>
  <c r="P251" i="2" s="1"/>
  <c r="M93" i="2"/>
  <c r="N93" i="2" s="1"/>
  <c r="P93" i="2" s="1"/>
  <c r="M34" i="2"/>
  <c r="N34" i="2" s="1"/>
  <c r="P34" i="2" s="1"/>
  <c r="M234" i="2"/>
  <c r="N234" i="2" s="1"/>
  <c r="P234" i="2" s="1"/>
  <c r="M35" i="2"/>
  <c r="N35" i="2" s="1"/>
  <c r="P35" i="2" s="1"/>
  <c r="M96" i="2"/>
  <c r="N96" i="2" s="1"/>
  <c r="P96" i="2" s="1"/>
  <c r="M236" i="2"/>
  <c r="N236" i="2" s="1"/>
  <c r="P236" i="2" s="1"/>
  <c r="P235" i="2" s="1"/>
  <c r="M83" i="2"/>
  <c r="N83" i="2" s="1"/>
  <c r="P83" i="2" s="1"/>
  <c r="M263" i="2"/>
  <c r="N263" i="2" s="1"/>
  <c r="P263" i="2" s="1"/>
  <c r="M224" i="2"/>
  <c r="N224" i="2" s="1"/>
  <c r="P224" i="2" s="1"/>
  <c r="M147" i="2"/>
  <c r="N147" i="2" s="1"/>
  <c r="P147" i="2" s="1"/>
  <c r="M88" i="2"/>
  <c r="N88" i="2" s="1"/>
  <c r="P88" i="2" s="1"/>
  <c r="M89" i="2"/>
  <c r="N89" i="2" s="1"/>
  <c r="P89" i="2" s="1"/>
  <c r="M149" i="2"/>
  <c r="N149" i="2" s="1"/>
  <c r="P149" i="2" s="1"/>
  <c r="M90" i="2"/>
  <c r="N90" i="2" s="1"/>
  <c r="P90" i="2" s="1"/>
  <c r="M91" i="2"/>
  <c r="N91" i="2" s="1"/>
  <c r="P91" i="2" s="1"/>
  <c r="M133" i="2"/>
  <c r="N133" i="2" s="1"/>
  <c r="P133" i="2" s="1"/>
  <c r="P132" i="2" s="1"/>
  <c r="P131" i="2" s="1"/>
  <c r="M94" i="2"/>
  <c r="N94" i="2" s="1"/>
  <c r="P94" i="2" s="1"/>
  <c r="M293" i="2"/>
  <c r="N293" i="2" s="1"/>
  <c r="P293" i="2" s="1"/>
  <c r="M95" i="2"/>
  <c r="N95" i="2" s="1"/>
  <c r="P95" i="2" s="1"/>
  <c r="M156" i="2"/>
  <c r="N156" i="2" s="1"/>
  <c r="P156" i="2" s="1"/>
  <c r="M256" i="2"/>
  <c r="N256" i="2" s="1"/>
  <c r="P256" i="2" s="1"/>
  <c r="P107" i="17" l="1"/>
  <c r="P188" i="17"/>
  <c r="P74" i="17"/>
  <c r="P69" i="17" s="1"/>
  <c r="P39" i="17"/>
  <c r="P15" i="17"/>
  <c r="P20" i="17"/>
  <c r="P200" i="17"/>
  <c r="P197" i="17"/>
  <c r="P177" i="17"/>
  <c r="P191" i="17"/>
  <c r="P32" i="17"/>
  <c r="P65" i="2"/>
  <c r="P35" i="17"/>
  <c r="P126" i="2"/>
  <c r="P268" i="2"/>
  <c r="P259" i="2"/>
  <c r="P199" i="2"/>
  <c r="P229" i="2"/>
  <c r="P275" i="2"/>
  <c r="P290" i="2"/>
  <c r="P278" i="2"/>
  <c r="P222" i="2"/>
  <c r="P174" i="2"/>
  <c r="P165" i="2" s="1"/>
  <c r="P153" i="2"/>
  <c r="P138" i="2"/>
  <c r="P134" i="2" s="1"/>
  <c r="P242" i="2"/>
  <c r="P287" i="2"/>
  <c r="P14" i="2"/>
  <c r="P62" i="2"/>
  <c r="P129" i="2"/>
  <c r="P232" i="2"/>
  <c r="P48" i="2"/>
  <c r="P45" i="2" s="1"/>
  <c r="P207" i="2"/>
  <c r="P40" i="2"/>
  <c r="P271" i="2"/>
  <c r="P36" i="2"/>
  <c r="P117" i="2"/>
  <c r="P214" i="2"/>
  <c r="P255" i="2"/>
  <c r="P186" i="2"/>
  <c r="P185" i="2" s="1"/>
  <c r="P195" i="2"/>
  <c r="P297" i="2"/>
  <c r="P22" i="2"/>
  <c r="P21" i="2" s="1"/>
  <c r="P33" i="2"/>
  <c r="P69" i="2"/>
  <c r="P29" i="17" l="1"/>
  <c r="P106" i="17"/>
  <c r="P169" i="17"/>
  <c r="P129" i="17" s="1"/>
  <c r="P59" i="2"/>
  <c r="P194" i="2"/>
  <c r="P219" i="2"/>
  <c r="P68" i="2"/>
  <c r="P286" i="2"/>
  <c r="P206" i="2"/>
  <c r="P30" i="2"/>
  <c r="P13" i="2" s="1"/>
  <c r="P14" i="17" l="1"/>
  <c r="P38" i="17"/>
  <c r="P39" i="2"/>
  <c r="P164" i="2"/>
  <c r="P210" i="17" l="1"/>
  <c r="P30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9C1D92-F323-4CF9-A7D9-249FDB64B532}" keepAlive="1" name="Consulta - QUANTITATIVO" description="Conexão com a consulta 'QUANTITATIVO' na pasta de trabalho." type="5" refreshedVersion="8" background="1" saveData="1">
    <dbPr connection="Provider=Microsoft.Mashup.OleDb.1;Data Source=$Workbook$;Location=QUANTITATIVO;Extended Properties=&quot;&quot;" command="SELECT * FROM [QUANTITATIVO]"/>
  </connection>
  <connection id="2" xr16:uid="{44126E41-E394-4FBC-9544-8AB035224BBA}" keepAlive="1" name="Consulta - QUANTITATIVO (2)" description="Conexão com a consulta 'QUANTITATIVO (2)' na pasta de trabalho." type="5" refreshedVersion="8" background="1" saveData="1">
    <dbPr connection="Provider=Microsoft.Mashup.OleDb.1;Data Source=$Workbook$;Location=&quot;QUANTITATIVO (2)&quot;;Extended Properties=&quot;&quot;" command="SELECT * FROM [QUANTITATIVO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<sst xmlns="http://schemas.openxmlformats.org/spreadsheetml/2006/main" count="2522" uniqueCount="959">
  <si>
    <t>ORÇAMENTO SINTÉTICO SEM DESONERAÇÃO
FONTE: SANEPAR</t>
  </si>
  <si>
    <t>CIDADE:</t>
  </si>
  <si>
    <t>ESTADO:</t>
  </si>
  <si>
    <t>PARANÁ</t>
  </si>
  <si>
    <t>SISTEMA:</t>
  </si>
  <si>
    <t>MICROBACIA / ÁREA:</t>
  </si>
  <si>
    <t>DATA:</t>
  </si>
  <si>
    <t>REVISÃO:</t>
  </si>
  <si>
    <t>R00</t>
  </si>
  <si>
    <t>ELABORAÇÃO:</t>
  </si>
  <si>
    <t>DANIEL GAMA</t>
  </si>
  <si>
    <t>ENG. RESPONSÁVEL:</t>
  </si>
  <si>
    <t>RODRIGO A. ZANATTA</t>
  </si>
  <si>
    <t>CREA:</t>
  </si>
  <si>
    <t>SC-0680240/D</t>
  </si>
  <si>
    <t>Código</t>
  </si>
  <si>
    <t>Descrição</t>
  </si>
  <si>
    <t>Tipo</t>
  </si>
  <si>
    <t>Origem</t>
  </si>
  <si>
    <t>Quant.</t>
  </si>
  <si>
    <t>Un. Med.</t>
  </si>
  <si>
    <t>Valor Unitário</t>
  </si>
  <si>
    <t>BDI</t>
  </si>
  <si>
    <t>Preço Unit. C/ BDI</t>
  </si>
  <si>
    <t>Custo Total</t>
  </si>
  <si>
    <t>Preço Total C/ BDI</t>
  </si>
  <si>
    <t xml:space="preserve">001   </t>
  </si>
  <si>
    <t>CANTEIRO DE OBRAS</t>
  </si>
  <si>
    <t/>
  </si>
  <si>
    <t>MO</t>
  </si>
  <si>
    <t>m²</t>
  </si>
  <si>
    <t>ud</t>
  </si>
  <si>
    <t>001.003</t>
  </si>
  <si>
    <t>ABASTECIMENTO DE ÁGUA</t>
  </si>
  <si>
    <t>001003001</t>
  </si>
  <si>
    <t>Entrada provisória de água</t>
  </si>
  <si>
    <t>m</t>
  </si>
  <si>
    <t>001.004</t>
  </si>
  <si>
    <t>PROTEÇÃO DA ÁREA</t>
  </si>
  <si>
    <t>Mat</t>
  </si>
  <si>
    <t>Sanepar</t>
  </si>
  <si>
    <t>001004004</t>
  </si>
  <si>
    <t>Tapume de chapas metálicas</t>
  </si>
  <si>
    <t>001.005</t>
  </si>
  <si>
    <t>PLACA DE OBRA</t>
  </si>
  <si>
    <t>001005001</t>
  </si>
  <si>
    <t>Em chapa metálica</t>
  </si>
  <si>
    <t xml:space="preserve">002   </t>
  </si>
  <si>
    <t>SERVIÇOS TÉCNICOS</t>
  </si>
  <si>
    <t>002.001</t>
  </si>
  <si>
    <t>TOPOGRAFIA E GEODÉSIA - SERVIÇOS</t>
  </si>
  <si>
    <t>002001004</t>
  </si>
  <si>
    <t>Locação de furos de sondagem</t>
  </si>
  <si>
    <t>km</t>
  </si>
  <si>
    <t>002001008</t>
  </si>
  <si>
    <t>Levantamento planialtimétrico cadastral de área: 0,00 m² &lt; área &lt; 1.000 m²</t>
  </si>
  <si>
    <t>002001043</t>
  </si>
  <si>
    <t>Locação da obra com auxílio de equipamento topográfico</t>
  </si>
  <si>
    <t>002.004</t>
  </si>
  <si>
    <t>SONDAGEM A PERCUSSÃO</t>
  </si>
  <si>
    <t>002004002</t>
  </si>
  <si>
    <t>Perfuração em solo (SPT) com estadia da equipe</t>
  </si>
  <si>
    <t>002.006</t>
  </si>
  <si>
    <t>SONDAGEM A TRADO</t>
  </si>
  <si>
    <t>002.007</t>
  </si>
  <si>
    <t>CADASTRO DE OBRAS</t>
  </si>
  <si>
    <t>002007005</t>
  </si>
  <si>
    <t>Cadastro de obra localizada "As Built"</t>
  </si>
  <si>
    <t xml:space="preserve">003   </t>
  </si>
  <si>
    <t>SERVIÇOS PRELIMINARES</t>
  </si>
  <si>
    <t>m³</t>
  </si>
  <si>
    <t>003.002</t>
  </si>
  <si>
    <t>ACESSO PROVISÓRIO</t>
  </si>
  <si>
    <t>003002001</t>
  </si>
  <si>
    <t>Acesso provisório</t>
  </si>
  <si>
    <t>003.005</t>
  </si>
  <si>
    <t>SINALIZAÇÃO DE SEGURANÇA</t>
  </si>
  <si>
    <t>003005001</t>
  </si>
  <si>
    <t>Fita plástica</t>
  </si>
  <si>
    <t>003005004</t>
  </si>
  <si>
    <t>Tapume em tela plástica</t>
  </si>
  <si>
    <t>003.006</t>
  </si>
  <si>
    <t>SINALIZAÇÃO DE TRÂNSITO</t>
  </si>
  <si>
    <t>003006001</t>
  </si>
  <si>
    <t>Placa de advertência 1,00 x 1,00 m</t>
  </si>
  <si>
    <t>003006002</t>
  </si>
  <si>
    <t>Placa de advertência 1,00 x 2,00 m</t>
  </si>
  <si>
    <t xml:space="preserve">004   </t>
  </si>
  <si>
    <t>MOVIMENTO DE SOLOS</t>
  </si>
  <si>
    <t>Solos em geral, profundidade 0 m &lt; h = 6 m</t>
  </si>
  <si>
    <t>004.007</t>
  </si>
  <si>
    <t>ESCAVAÇÃO MECÂNICA, NÃO EM VALAS, EM QUALQUER TIPO DE SOLO, EXCETO ROCHA</t>
  </si>
  <si>
    <t>004007003</t>
  </si>
  <si>
    <t>004.015</t>
  </si>
  <si>
    <t>COMPACTAÇÃO NÃO EM VALAS</t>
  </si>
  <si>
    <t>004015001</t>
  </si>
  <si>
    <t>Sem controle do GC</t>
  </si>
  <si>
    <t>h</t>
  </si>
  <si>
    <t xml:space="preserve">008   </t>
  </si>
  <si>
    <t>FUNDAÇÕES E ESTRUTURA</t>
  </si>
  <si>
    <t>008.001</t>
  </si>
  <si>
    <t>ESTACA MOLDADA “IN LOCO”</t>
  </si>
  <si>
    <t>008001003</t>
  </si>
  <si>
    <t>Perfuração manual Ø 25 cm</t>
  </si>
  <si>
    <t>008.008</t>
  </si>
  <si>
    <t>FÔRMA PARA LAJE</t>
  </si>
  <si>
    <t>008008003</t>
  </si>
  <si>
    <t>Chapa resinada e= 18 mm</t>
  </si>
  <si>
    <t>008.009</t>
  </si>
  <si>
    <t>FÔRMA PARA VIGA, PILAR E PAREDE</t>
  </si>
  <si>
    <t>008009008</t>
  </si>
  <si>
    <t>Plana em chapa resinada e= 18 mm</t>
  </si>
  <si>
    <t>008.010</t>
  </si>
  <si>
    <t>FÔRMA PARA FUNDAÇÃO E BALDRAME</t>
  </si>
  <si>
    <t>008010006</t>
  </si>
  <si>
    <t>008.019</t>
  </si>
  <si>
    <t>ARMADURA</t>
  </si>
  <si>
    <t>008019001</t>
  </si>
  <si>
    <t>Em aço CA-50</t>
  </si>
  <si>
    <t>kg</t>
  </si>
  <si>
    <t>008019002</t>
  </si>
  <si>
    <t>Em aço CA-60</t>
  </si>
  <si>
    <t>008.021</t>
  </si>
  <si>
    <t>CONCRETO CONVENCIONAL</t>
  </si>
  <si>
    <t>008021002</t>
  </si>
  <si>
    <t>fck = 15,0 MPa</t>
  </si>
  <si>
    <t>008.022</t>
  </si>
  <si>
    <t>CONCRETO USINADO</t>
  </si>
  <si>
    <t>008022020</t>
  </si>
  <si>
    <t>fck = 40,0 MPa - slump  8</t>
  </si>
  <si>
    <t>008.023</t>
  </si>
  <si>
    <t>BOMBEAMENTO DE CONCRETO</t>
  </si>
  <si>
    <t>008023001</t>
  </si>
  <si>
    <t>Bombeamento de concreto usinado</t>
  </si>
  <si>
    <t>008.030</t>
  </si>
  <si>
    <t>PROTEÇÃO E IMPERMEABILIZAÇÃO DAS ESTRUTURAS DE CONCRETO</t>
  </si>
  <si>
    <t>008030002</t>
  </si>
  <si>
    <t>Impermeabilização flexível com poliuretano</t>
  </si>
  <si>
    <t xml:space="preserve">009   </t>
  </si>
  <si>
    <t>ASSENTAMENTOS</t>
  </si>
  <si>
    <t>DN 150</t>
  </si>
  <si>
    <t>DN 200</t>
  </si>
  <si>
    <t>009.002</t>
  </si>
  <si>
    <t>TUBULAÇÃO DE PVC JE / JEI PARA ESGOTO</t>
  </si>
  <si>
    <t>009002003</t>
  </si>
  <si>
    <t>009.004</t>
  </si>
  <si>
    <t>TUBULAÇÃO DE PEAD</t>
  </si>
  <si>
    <t>009004012</t>
  </si>
  <si>
    <t>DE 160 mm</t>
  </si>
  <si>
    <t>009.007</t>
  </si>
  <si>
    <t>TUBULAÇÃO DE FERRO DÚCTIL JE/JE2GS/JTI</t>
  </si>
  <si>
    <t>009007003</t>
  </si>
  <si>
    <t>009007004</t>
  </si>
  <si>
    <t>009.018</t>
  </si>
  <si>
    <t>POÇO DE VISITA TIPO D - DN 1200</t>
  </si>
  <si>
    <t>009018001</t>
  </si>
  <si>
    <t>Para profundidade até 2,00 m</t>
  </si>
  <si>
    <t>009018002</t>
  </si>
  <si>
    <t>Acréscimo para prof. superior a 2,00 m</t>
  </si>
  <si>
    <t xml:space="preserve">010   </t>
  </si>
  <si>
    <t>PAVIMENTAÇÃO</t>
  </si>
  <si>
    <t>Guia-sarjeta de concreto pré-moldada</t>
  </si>
  <si>
    <t>010.002</t>
  </si>
  <si>
    <t>EXECUÇÃO DE PAVIMENTOS, GUIAS E SARJETAS</t>
  </si>
  <si>
    <t>010002007</t>
  </si>
  <si>
    <t>Revestimento com concreto betuminoso usinado a quente (CBUQ)</t>
  </si>
  <si>
    <t>010002027</t>
  </si>
  <si>
    <t>Revestimento com piso de concreto desempenado</t>
  </si>
  <si>
    <t>010002030</t>
  </si>
  <si>
    <t xml:space="preserve">011   </t>
  </si>
  <si>
    <t>FECHAMENTO</t>
  </si>
  <si>
    <t>011.001</t>
  </si>
  <si>
    <t>PAREDE</t>
  </si>
  <si>
    <t>011001003</t>
  </si>
  <si>
    <t>Alvenaria de tijolo furado 1/2 vez</t>
  </si>
  <si>
    <t xml:space="preserve">012   </t>
  </si>
  <si>
    <t>REVESTIMENTO E TRATMENTO DE SUPERFÍCIE</t>
  </si>
  <si>
    <t>012.001</t>
  </si>
  <si>
    <t>PISO, SOLEIRA E DEGRAU</t>
  </si>
  <si>
    <t>012001004</t>
  </si>
  <si>
    <t>Camada de regularização com argamassa desempenada com impermeabilizante</t>
  </si>
  <si>
    <t>012.003</t>
  </si>
  <si>
    <t>PAREDE, TETO E BEIRAL</t>
  </si>
  <si>
    <t>012003003</t>
  </si>
  <si>
    <t>Chapisco grosso, traço 1:3 em parede</t>
  </si>
  <si>
    <t>012003007</t>
  </si>
  <si>
    <t>Emboço, traço 1:3:8 em parede</t>
  </si>
  <si>
    <t>012003014</t>
  </si>
  <si>
    <t>Reboco (calfino) em parede</t>
  </si>
  <si>
    <t>012.004</t>
  </si>
  <si>
    <t>PINTURA</t>
  </si>
  <si>
    <t>012004002</t>
  </si>
  <si>
    <t>Emassamento com massa acrílica</t>
  </si>
  <si>
    <t>012004011</t>
  </si>
  <si>
    <t>Fundo com selador acrílico (alvenaria de tijolos)</t>
  </si>
  <si>
    <t>012004012</t>
  </si>
  <si>
    <t>Fundo com primer antiferruginoso (ferro e aço)</t>
  </si>
  <si>
    <t>012004019</t>
  </si>
  <si>
    <t>Látex acrílico - azul claro padrão Sanepar</t>
  </si>
  <si>
    <t>012004020</t>
  </si>
  <si>
    <t>Látex acrílico - azul escuro padrão Sanepar</t>
  </si>
  <si>
    <t>012004022</t>
  </si>
  <si>
    <t>Esmalte sintético</t>
  </si>
  <si>
    <t xml:space="preserve">013   </t>
  </si>
  <si>
    <t>INSTALAÇÕES PREDIAIS</t>
  </si>
  <si>
    <t>013.001</t>
  </si>
  <si>
    <t>ÁGUA</t>
  </si>
  <si>
    <t>013001005</t>
  </si>
  <si>
    <t>Ponto de água predial</t>
  </si>
  <si>
    <t>013001006</t>
  </si>
  <si>
    <t>Ramal de jardim</t>
  </si>
  <si>
    <t>013.003</t>
  </si>
  <si>
    <t>APARELHO E ACESSÓRIO HIDROSSANITÁRIO</t>
  </si>
  <si>
    <t>013003020</t>
  </si>
  <si>
    <t>Torneira metálica para jardim</t>
  </si>
  <si>
    <t>013.005</t>
  </si>
  <si>
    <t>INSTALAÇÃO ELÉTRICA</t>
  </si>
  <si>
    <t>013005023</t>
  </si>
  <si>
    <t>Eletroduto flexível corrugado embutido 32 mm</t>
  </si>
  <si>
    <t>013005030</t>
  </si>
  <si>
    <t>Condutor isolado - cabo 2,5 mm²</t>
  </si>
  <si>
    <t>013005034</t>
  </si>
  <si>
    <t>Condutor isolado - cabo 16,0 mm²</t>
  </si>
  <si>
    <t>013005035</t>
  </si>
  <si>
    <t>Condutor isolado - cabo 25,0 mm²</t>
  </si>
  <si>
    <t>013005054</t>
  </si>
  <si>
    <t>Interruptor simples, embutido, com 1 tecla</t>
  </si>
  <si>
    <t>013005060</t>
  </si>
  <si>
    <t xml:space="preserve">Tomada universal, embutida </t>
  </si>
  <si>
    <t>013005064</t>
  </si>
  <si>
    <t>Haste de aterramento com 5/8” x 3,00 m</t>
  </si>
  <si>
    <t xml:space="preserve">014   </t>
  </si>
  <si>
    <t>INSTALAÇÕES DE PRODUÇÃO</t>
  </si>
  <si>
    <t>014.001</t>
  </si>
  <si>
    <t>INSTALAÇÃO DE CONJUNTO MOTO BOMBA</t>
  </si>
  <si>
    <t>014001002</t>
  </si>
  <si>
    <t>Cmb submerso (poço profundo) 11 CV a 30 CV</t>
  </si>
  <si>
    <t>014.002</t>
  </si>
  <si>
    <t>INSTALAÇÃO DE EQUIPAMENTOS DE MOVIMENTAÇÃO DE CARGAS</t>
  </si>
  <si>
    <t>014002010</t>
  </si>
  <si>
    <t>Instalação de guindaste giratório até 1000 kgf</t>
  </si>
  <si>
    <t>014.004</t>
  </si>
  <si>
    <t>INSTALAÇÃO DE VÁLVULA</t>
  </si>
  <si>
    <t>014004004</t>
  </si>
  <si>
    <t>Válvula JE DN 150</t>
  </si>
  <si>
    <t>014004005</t>
  </si>
  <si>
    <t>Válvula JE DN 200</t>
  </si>
  <si>
    <t>014.005</t>
  </si>
  <si>
    <t>INSTALAÇÃO DE JUNTA DIFERENCIADA</t>
  </si>
  <si>
    <t>014005024</t>
  </si>
  <si>
    <t>Junta de desmontagem travada axialmente DN 150</t>
  </si>
  <si>
    <t>014.013</t>
  </si>
  <si>
    <t>INSTALAÇÃO DE SISTEMA DE GRADEAMENTO MANUAL</t>
  </si>
  <si>
    <t>014013001</t>
  </si>
  <si>
    <t>Grade com limpeza manual com área até 2,0 m²</t>
  </si>
  <si>
    <t>014.031</t>
  </si>
  <si>
    <t xml:space="preserve">INSTALAÇÃO DE EQUIPAMENTO PARA MEDIÇÃO DE VAZÃO </t>
  </si>
  <si>
    <t>014031004</t>
  </si>
  <si>
    <t xml:space="preserve">Medidor de vazão JF PN-10 DN 150 </t>
  </si>
  <si>
    <t>014.044</t>
  </si>
  <si>
    <t>MONTAGEM DE TUBULAÇÃO FD</t>
  </si>
  <si>
    <t>014044031</t>
  </si>
  <si>
    <t>Tubo e conexão FD JF PN-10 DN 150</t>
  </si>
  <si>
    <t>014044032</t>
  </si>
  <si>
    <t>Tubo e conexão FD JF PN-10 DN 200</t>
  </si>
  <si>
    <t>014.046</t>
  </si>
  <si>
    <t>MONTAGEM DE TUBULAÇÃO PVC/RPVC/PRFV/PP/PEAD</t>
  </si>
  <si>
    <t>014046005</t>
  </si>
  <si>
    <t>Tubo e conexão PVC/RPVC/PRFV JE/JEI DN 200</t>
  </si>
  <si>
    <t>014046046</t>
  </si>
  <si>
    <t>Tubo e conexão PP/PEAD JS DE 160 mm - Termofusão</t>
  </si>
  <si>
    <t xml:space="preserve">015   </t>
  </si>
  <si>
    <t>URBANIZAÇÃO</t>
  </si>
  <si>
    <t>015.001</t>
  </si>
  <si>
    <t>VEDAÇÃO E PROTEÇÃO DE ÁREAS</t>
  </si>
  <si>
    <t>015001007</t>
  </si>
  <si>
    <t>Portão para veículos h = 1,95 m</t>
  </si>
  <si>
    <t>015001013</t>
  </si>
  <si>
    <t>Concertina com diâmetro de 30 cm</t>
  </si>
  <si>
    <t>015.002</t>
  </si>
  <si>
    <t>PAISAGISMO</t>
  </si>
  <si>
    <t>015002001</t>
  </si>
  <si>
    <t>Plantio de grama em leiva</t>
  </si>
  <si>
    <t xml:space="preserve">016   </t>
  </si>
  <si>
    <t>SERVIÇOS DIVERSOS</t>
  </si>
  <si>
    <t>016.007</t>
  </si>
  <si>
    <t>CAIXA DE ALVENARIA</t>
  </si>
  <si>
    <t>016007001</t>
  </si>
  <si>
    <t>Tampa em concreto</t>
  </si>
  <si>
    <t>016.016</t>
  </si>
  <si>
    <t>LIMPEZA DE OBRA</t>
  </si>
  <si>
    <t>016016003</t>
  </si>
  <si>
    <t>Obra localizada</t>
  </si>
  <si>
    <t>MÃO DE OBRA</t>
  </si>
  <si>
    <t>016017001</t>
  </si>
  <si>
    <t>Servente</t>
  </si>
  <si>
    <t>016017003</t>
  </si>
  <si>
    <t>Profissional</t>
  </si>
  <si>
    <t xml:space="preserve">017   </t>
  </si>
  <si>
    <t>LIGAÇÕES PREDIAIS</t>
  </si>
  <si>
    <t>017.003</t>
  </si>
  <si>
    <t>INSTALAÇÃO DE CAIXA DE PROTEÇÃO DE HIDRÔMETRO - CPH</t>
  </si>
  <si>
    <t>017003001</t>
  </si>
  <si>
    <t>Instalação de CPH</t>
  </si>
  <si>
    <t>017.004</t>
  </si>
  <si>
    <t>FORNECIMENTO DE MATERIAIS P/ LIGAÇÃO PREDIAL DE ÁGUA ¾” – REDE ATÉ 40mm</t>
  </si>
  <si>
    <t>017004001</t>
  </si>
  <si>
    <t>Cavalete ¾”, rede PVC no passeio</t>
  </si>
  <si>
    <t>CP</t>
  </si>
  <si>
    <t>Comp.</t>
  </si>
  <si>
    <t>Larg.</t>
  </si>
  <si>
    <t>1</t>
  </si>
  <si>
    <t>2</t>
  </si>
  <si>
    <t>3</t>
  </si>
  <si>
    <t>4</t>
  </si>
  <si>
    <t>5</t>
  </si>
  <si>
    <t>CJ</t>
  </si>
  <si>
    <t>28</t>
  </si>
  <si>
    <t>UBIRATÃ</t>
  </si>
  <si>
    <t>Colarinho longo polietileno injetado ponta (para eletrofusao e termofusao) pe 100 pn 16 de 160</t>
  </si>
  <si>
    <t>Tubo fd k9 ff (solda interferencia) para esgoto pn10 medindo 1,00m dn150 - l=708 mm</t>
  </si>
  <si>
    <t>Curva fd ff 45 para esgoto pn10 dn150</t>
  </si>
  <si>
    <t>Te reducao fd fff para esgoto pn10 dn150 dn50</t>
  </si>
  <si>
    <t>Junta de desmontagem travada aco/fd para esgoto pn10 dn150</t>
  </si>
  <si>
    <t>Toco de tubo fd ff pn10 medindo 0,50 metros para esgoto dn150</t>
  </si>
  <si>
    <t>Medidor de vazao eletromagnetico 1,0mpa alimentacao 24vcc sinal de  saida modbus rtu para esgoto pn10 dn150</t>
  </si>
  <si>
    <t>Tubo fd k9 ff (solda interferencia) para esgoto pn10 medindo 1,00m dn150</t>
  </si>
  <si>
    <t>Valvula guilhotina bidirecional cf8m lug/semilug/wafer manual castelo quadrado e volante para esgoto 10bar furacao pn10 dn150</t>
  </si>
  <si>
    <t>Tubo fd k9 ff (solda interferencia) para esgoto pn10 medindo 1,00m dn150 - l=666 mm</t>
  </si>
  <si>
    <t>Valvula retencao fd ff com portinhola unica inclinada 35 graus obturador para esgoto pn10 dn150</t>
  </si>
  <si>
    <t>Curva fd ff 90 para esgoto pn10 dn150</t>
  </si>
  <si>
    <t>Te fd fff pn10 para esgoto dn200</t>
  </si>
  <si>
    <t>Valvula guilhotina bidirecional cf8m lug/semilug/wafer manual castelo quadrado e volante mecanismo reducao para esgoto 8 bar furacao pn10 dn200</t>
  </si>
  <si>
    <t>Tubo fd k9 ff (solda interferencia) para esgoto pn10 medindo 1,50m dn200 - l=1380 mm</t>
  </si>
  <si>
    <t>Tubo fd k9 ff (solda interferencia) para esgoto pn10 medindo 1,50m dn200</t>
  </si>
  <si>
    <t>Toco de tubo fd fp 700mm com aba de vedacao pn10 para esgoto dn200</t>
  </si>
  <si>
    <t>Toco de tubo fd fp pn10 medindo 0,25m para esgoto dn200</t>
  </si>
  <si>
    <t>Conjunto grade tipo cesto dimensoes 60 x 63 x 53 cm em inox espassamento 20 mm com guias laterais comprimento 6,0 m</t>
  </si>
  <si>
    <t>Ventosa combinada/triplice funcao para esgoto corpo em prfv ou nylon reforcado com capacidade vazao minima a 0,4 bar de 220,0 m3/h flange pn10/16 dn50 pol2”</t>
  </si>
  <si>
    <t>Tubo fd ff (solda interferencia) com aba de vedacao para esgoto pn10 medindo 4,508 m dn150</t>
  </si>
  <si>
    <t>Tubo fd ff (solda interferencia) com aba de vedacao para esgoto pn10 medindo 1,00 m dn150</t>
  </si>
  <si>
    <t>Guindaste de coluna h= 2,5 m com lanca giratoria 4,0 m trolley e talha manual capacidade 1,0 tf c/ corrente aco carbono galvanizado p/ elevacao 9 m</t>
  </si>
  <si>
    <t>Reducao fd ff excentrica pn10 dn150 dn50</t>
  </si>
  <si>
    <t>Conjunto motobomba submersivel para esgoto com kit pedestal e cem h=62mca q=11,32m3/h rend 0,41 p=16.85kw t=460v</t>
  </si>
  <si>
    <t>Tubo fd k9 ff (solda interferencia) para esgoto pn10 medindo 1,00m dn200</t>
  </si>
  <si>
    <t>Conjunto haste de prolongamento em aco inox 304 com 2 mancais fixacao lateral comprimento de 2,1 a 4,0 m pol1.1/4”</t>
  </si>
  <si>
    <t>Curva fd ff 45 para esgoto pn10 dn200</t>
  </si>
  <si>
    <t>Flange aco carbono para colarinho pead epoxi iso 12944 320um c5m durabilidade alta ou pp (nbr 7675/15593) pn10 de160 dn150</t>
  </si>
  <si>
    <t>Junta de vedacao para flange pn10 dn150</t>
  </si>
  <si>
    <t>Junta de vedacao para flange pn10 dn200</t>
  </si>
  <si>
    <t>Kit parafuso porca arruela lisa aco inox arruela vedacao furacao para esgoto pn10 nbr 7675 dn50</t>
  </si>
  <si>
    <t>Kit parafuso porca arruela lisa aco inox arruela vedacao furacao para esgoto pn10 nbr 7675 dn100</t>
  </si>
  <si>
    <t>Kit parafuso porca arruela lisa aco inox arruela vedacao furacao para esgoto pn10 nbr 7675 dn150</t>
  </si>
  <si>
    <t>Kit parafuso porca arruela lisa aco inox arruela vedacao furacao para esgoto pn10 nbr 7675 dn200</t>
  </si>
  <si>
    <t>Tubo pvc jei pb com anel coletor de esgoto (comprimentomontagem 2,62m) parede macica nbr 7362 ou nucleo celular nbr iso 21138-2 de 200 dn200</t>
  </si>
  <si>
    <t>Tubo pvc jei pb com anel coletor de esgoto (comprimentomontagem 6m) parede macica nbr 7362 ou nucleo celular nbr iso 21138-2 de 200 dn200</t>
  </si>
  <si>
    <t>Junção fd fff para esgoto pn10 dn150</t>
  </si>
  <si>
    <t>019.002</t>
  </si>
  <si>
    <t>019.003</t>
  </si>
  <si>
    <t>019.004</t>
  </si>
  <si>
    <t>019.005</t>
  </si>
  <si>
    <t>019.006</t>
  </si>
  <si>
    <t>019.007</t>
  </si>
  <si>
    <t>019.008</t>
  </si>
  <si>
    <t>019.009</t>
  </si>
  <si>
    <t>019.010</t>
  </si>
  <si>
    <t>019.011</t>
  </si>
  <si>
    <t>019.012</t>
  </si>
  <si>
    <t>019.013</t>
  </si>
  <si>
    <t>019.014</t>
  </si>
  <si>
    <t>019.015</t>
  </si>
  <si>
    <t>019.016</t>
  </si>
  <si>
    <t>019.017</t>
  </si>
  <si>
    <t>019.018</t>
  </si>
  <si>
    <t>019.019</t>
  </si>
  <si>
    <t>019.020</t>
  </si>
  <si>
    <t>019.021</t>
  </si>
  <si>
    <t>019.022</t>
  </si>
  <si>
    <t>019.023</t>
  </si>
  <si>
    <t>019.024</t>
  </si>
  <si>
    <t>019.025</t>
  </si>
  <si>
    <t>019.026</t>
  </si>
  <si>
    <t>019.027</t>
  </si>
  <si>
    <t>019.028</t>
  </si>
  <si>
    <t>019.029</t>
  </si>
  <si>
    <t>019.030</t>
  </si>
  <si>
    <t>019.031</t>
  </si>
  <si>
    <t>019.032</t>
  </si>
  <si>
    <t>019.033</t>
  </si>
  <si>
    <t>019.034</t>
  </si>
  <si>
    <t>019.035</t>
  </si>
  <si>
    <t>019.036</t>
  </si>
  <si>
    <t>019.037</t>
  </si>
  <si>
    <t>019.038</t>
  </si>
  <si>
    <t>019.039</t>
  </si>
  <si>
    <t>019.040</t>
  </si>
  <si>
    <t>019.041</t>
  </si>
  <si>
    <t>M</t>
  </si>
  <si>
    <t>OBRAS ELÉTRICAS - SERVIÇOS</t>
  </si>
  <si>
    <t xml:space="preserve">040   </t>
  </si>
  <si>
    <t>040.001</t>
  </si>
  <si>
    <t>MOBILIZAÇÃO / DESMOBILIZAÇÃO</t>
  </si>
  <si>
    <t>040001001</t>
  </si>
  <si>
    <t>Deslocamento interurbano da equipe de serviços técnicos especializados em elétrica</t>
  </si>
  <si>
    <t>040.002</t>
  </si>
  <si>
    <t>INSTALAÇÃO DE ENTRADA DE ENERGIA EM BAIXA TENSÃO (BT)</t>
  </si>
  <si>
    <t>040002003</t>
  </si>
  <si>
    <t>Entrada de energia em BT (trifásica ) de 125 A até 200 A</t>
  </si>
  <si>
    <t>040.007</t>
  </si>
  <si>
    <t>INSTALAÇÃO DE ELETRODUTO SUBTERRÂNEO</t>
  </si>
  <si>
    <t>040007001</t>
  </si>
  <si>
    <t>Vala para assentamento de eletroduto de L=45 cm, h=40 cm, execução manual</t>
  </si>
  <si>
    <t>040007012</t>
  </si>
  <si>
    <t>Assentamento de eletroduto de 1.1/4" a 2.1/2"</t>
  </si>
  <si>
    <t>040.010</t>
  </si>
  <si>
    <t>INSTALAÇÃO DE ATERRAMENTO</t>
  </si>
  <si>
    <t>040010001</t>
  </si>
  <si>
    <t xml:space="preserve">Vala com L=30 cm e h=60 cm para assentamento de cabo de aterramento </t>
  </si>
  <si>
    <t>040010002</t>
  </si>
  <si>
    <t xml:space="preserve">Assentamento de cabo de aterramento </t>
  </si>
  <si>
    <t>040010003</t>
  </si>
  <si>
    <t xml:space="preserve">Instalação de haste de aterramento </t>
  </si>
  <si>
    <t>040.012</t>
  </si>
  <si>
    <t>INSTALAÇÃO DE ILUMINAÇÃO EXTERNA</t>
  </si>
  <si>
    <t>040012001</t>
  </si>
  <si>
    <t>Poste com até 2 refletores</t>
  </si>
  <si>
    <t>040012011</t>
  </si>
  <si>
    <t>Sinalização aérea</t>
  </si>
  <si>
    <t>040.013</t>
  </si>
  <si>
    <t>INSTALAÇÃO DE ILUMINAÇÃO INTERNA / TOMADA</t>
  </si>
  <si>
    <t>040013003</t>
  </si>
  <si>
    <t>Ponto elétrico - até 10 pontos</t>
  </si>
  <si>
    <t>040.018</t>
  </si>
  <si>
    <t>040018090</t>
  </si>
  <si>
    <t>Eletricista Industrial</t>
  </si>
  <si>
    <t>040018091</t>
  </si>
  <si>
    <t>Ajudante de eletricista</t>
  </si>
  <si>
    <t>040.020</t>
  </si>
  <si>
    <t>EXECUÇÃO DE ABRIGOS</t>
  </si>
  <si>
    <t>Abrigo em alvenaria tipo 3, c/elem. vazado, tela PVC, calçada e laje pré-fabricada, imperm. c/manta asfaltica, inclinação 5%, pintura látex acrilica, porta em chapa de aço cinza munsell 2100x800mm, fechadura tetrachave, dimens. (LxPxA) 3600x2300x2600mm</t>
  </si>
  <si>
    <t>040020003</t>
  </si>
  <si>
    <t>040.021</t>
  </si>
  <si>
    <t>EXECUÇÃO DE CAIXAS DE PASSAGEM</t>
  </si>
  <si>
    <t>040021002</t>
  </si>
  <si>
    <t>Caixa de passagem tipo C-01, dimensões 500 x 500 x 500mm</t>
  </si>
  <si>
    <t>040.023</t>
  </si>
  <si>
    <t xml:space="preserve">EXECUÇÃO DE SERVIÇOS COMPLEMENTARES </t>
  </si>
  <si>
    <t>040023001</t>
  </si>
  <si>
    <t>Base vazada em concreto armado para apoio do Quadro de comando, conforme especificação básica</t>
  </si>
  <si>
    <t xml:space="preserve">042   </t>
  </si>
  <si>
    <t>OBRAS ELÉTRICAS - FORNECIMENTO DE INSUMOS</t>
  </si>
  <si>
    <t>042007070</t>
  </si>
  <si>
    <t>Cabo de cobre, têmpera mole, classe 5, 0,6/1kV, EPR 90º, tipo Eprotenax Gsette, fab. PRYSMIAN (PIRELLI) ou similar, secão 2,5mm²</t>
  </si>
  <si>
    <t>042.007</t>
  </si>
  <si>
    <t xml:space="preserve">CABOS FORÇA E DISTRIBUIÇÃO (COBRE E ALUMINIO) </t>
  </si>
  <si>
    <t>042007018</t>
  </si>
  <si>
    <t>Cabo de cobre nu, têmpera meio dura, classe 2A, fab. ALCOA ou similar, seção 50 mm² (81817)</t>
  </si>
  <si>
    <t>042.009</t>
  </si>
  <si>
    <t>CABOS DE COMUNICAÇÃO, INSTRUMENTAÇÃO E CONTROLE</t>
  </si>
  <si>
    <t>042009034</t>
  </si>
  <si>
    <t>Cabo controle com blindagem eletrostática, 0,5/1kV, 70ºC, tipo TA, ref. 115 CA 02 CL5 FR, 2x1,5mm², fab. POLIRON ou similar</t>
  </si>
  <si>
    <t>042.026</t>
  </si>
  <si>
    <t>ELETRODUTOS DE PVC, KANAFLEX E CONEXÕES</t>
  </si>
  <si>
    <t>042026052</t>
  </si>
  <si>
    <t>Eletroduto Kanalex KL, fabricado em PEAD, corrugado, flexível, tipo KL , fab. Kanaflex ou similar, bitola 50mm</t>
  </si>
  <si>
    <t>042.024</t>
  </si>
  <si>
    <t>ELETRODUTOS DE AÇO GALVANIZADO, INOX E CONEXÕES</t>
  </si>
  <si>
    <t>042024005</t>
  </si>
  <si>
    <t>Eletroduto de aço galvanizado à fogo, pesado, barras de 3m, NBR-5598, fab. ELECON ou similar, bitola 2"</t>
  </si>
  <si>
    <t>042.011</t>
  </si>
  <si>
    <t>CAIXAS DE PASSAGEM E LIGAÇÃO EM ALUMINIO</t>
  </si>
  <si>
    <t>042011033</t>
  </si>
  <si>
    <t>Caixa de passagem e ligação em liga de alumínio injetado, tipo condulete, tamanho N, instalação abrigada (D-S-PA), ref. DN, fab. DAISA ou similar, bitola 2", tipo LL</t>
  </si>
  <si>
    <t>042011035</t>
  </si>
  <si>
    <t>Caixa de passagem e ligação em liga de alumínio injetado, tipo condulete, tamanho N, instalação abrigada (D-S-PA), ref. DN, fab. DAISA ou similar, bitola 2", tipo LB</t>
  </si>
  <si>
    <t>042.050</t>
  </si>
  <si>
    <t>CAIXA DE PASSAGEM PRÉ FABRICADA</t>
  </si>
  <si>
    <t>042050002</t>
  </si>
  <si>
    <t>Caixa de passagem pré-fabricada em concreto com tampa de embutir, dimensões 400 x 400 x 400mm (286883)</t>
  </si>
  <si>
    <t>040.014</t>
  </si>
  <si>
    <t>INSTALAÇÃO DE MEDIDOR / SENSOR</t>
  </si>
  <si>
    <t>040014020</t>
  </si>
  <si>
    <t>Sensor de nível/vazão ultrassônico</t>
  </si>
  <si>
    <t>042.015</t>
  </si>
  <si>
    <t>CONECTORES E CHUMBADORES</t>
  </si>
  <si>
    <t>042015024</t>
  </si>
  <si>
    <t>Conector  parafuso  fendido  simples  (split-bolt), para  condutor  de  cobre, fab.  INTELLI ou similar, bitola 16mm² (152986)</t>
  </si>
  <si>
    <t>042.034</t>
  </si>
  <si>
    <t>POSTES, CRUZETAS E ACESSÓRIOS</t>
  </si>
  <si>
    <t>042034019</t>
  </si>
  <si>
    <t>Poste de concreto armado, seção duplo "T", com descida de cabo terra, DAN 150, fab. ROMAGNOLE ou similar, medida 7m</t>
  </si>
  <si>
    <t>042.031</t>
  </si>
  <si>
    <t>ILUMINAÇÃO INTERNA, TOMADAS E ACESSÓRIOS</t>
  </si>
  <si>
    <t>042031060</t>
  </si>
  <si>
    <t>Projetor LED 100W, corpo em aluminio anodizado, 12300 lm, uso externo, IP 67, 3000K, FP 0,96, 220V, ref. HBMI-1003-2M-A, linha Highbay, fab. Brightlux ou similar</t>
  </si>
  <si>
    <t>042.018</t>
  </si>
  <si>
    <t>ATERRAMENTO / SPDA</t>
  </si>
  <si>
    <t>Haste de aterramento, núcleo de aço revestido por cobre eletrolítico, alta camada, diâmetro 3/4", comprimento 2,40m. fab. INTELLI ou similar</t>
  </si>
  <si>
    <t>Tubo fd k9 ff (solda interferencia) para esgoto pn10 medindo 2,00m dn150 l=1995 mm</t>
  </si>
  <si>
    <t>042.040</t>
  </si>
  <si>
    <t>MATERIAIS PARA AGUA, ESGOTO E  CONEXÕES</t>
  </si>
  <si>
    <t>042040023</t>
  </si>
  <si>
    <t>Registro  de esfera em PVC, soldável, DN 25mm (3/4"), fab. TIGRE ou similar</t>
  </si>
  <si>
    <t>042040014</t>
  </si>
  <si>
    <t>Fita veda rosca, 18mm x10m fab. TIGRE ou similar (273244)</t>
  </si>
  <si>
    <t>042040062</t>
  </si>
  <si>
    <t>Tubo de PVC soldável, barra de 6m, fab. TIGRE ou similar, bitola 25mm</t>
  </si>
  <si>
    <t>CAP</t>
  </si>
  <si>
    <t>Tubete Longo com porca e guarnição</t>
  </si>
  <si>
    <t>Tubete curto com porca e guarnição</t>
  </si>
  <si>
    <t>Hidrômetro monojato/multijato</t>
  </si>
  <si>
    <t>Joelho roscável com reforço metálico externo</t>
  </si>
  <si>
    <t>019.042</t>
  </si>
  <si>
    <t>019.043</t>
  </si>
  <si>
    <t>019.044</t>
  </si>
  <si>
    <t>019.045</t>
  </si>
  <si>
    <t>019.046</t>
  </si>
  <si>
    <t>019.047</t>
  </si>
  <si>
    <t>019.048</t>
  </si>
  <si>
    <t>019.050</t>
  </si>
  <si>
    <t>019.051</t>
  </si>
  <si>
    <t>Painel elétrico QCM - Quadro de comando e proteção de motores, com acionamento para 2 motor com inversor 22cv, 220V, 3F, 60hz, instalação abrigada</t>
  </si>
  <si>
    <t>Chave de nível tipo pera com contato NA+NF</t>
  </si>
  <si>
    <t>Caixa de equipotencialização em termoplástico com 9 furos</t>
  </si>
  <si>
    <t>Terminal estanhado 1 furo a compressão, Ref: TEL-5018</t>
  </si>
  <si>
    <t>Caixa de inspeção em propileno DN 300mm TEL-552PP</t>
  </si>
  <si>
    <t>019.052</t>
  </si>
  <si>
    <t>042.042</t>
  </si>
  <si>
    <t>EQUIPAMENTOS DE MEDIÇÃO, MATERIAIS DE INSTRUMENTAÇÃO</t>
  </si>
  <si>
    <t>042042031</t>
  </si>
  <si>
    <t xml:space="preserve">Transmissor de nível ultra-sônico, IP 68, PP conexão 2" ou 1", c/sensor temp., 11,4 a 36VCC, 4-20mA, HART, 5 metros de cabo, angulo 5°, freq.trab.  80 kHz, faixa 250mm até 6000mm, -30 à 90°C, ref. EASYTREK SPA 380-4 fab. NIVELCO ou similar </t>
  </si>
  <si>
    <t>Curva polietileno segmentada 90 raio 3,0xDE termofusão PE100 PN12,5 DE 160</t>
  </si>
  <si>
    <t>Curva polietileno segmentada 60 raio 3,0xDE termofusão PE100 PN12,5 DE 160</t>
  </si>
  <si>
    <t>Joelho ajustável 0 a 24 graus polietileno PE100 BP PN16 para eletrofusão DE 160</t>
  </si>
  <si>
    <t>Joelho ajustável 0 a 12 graus polietileno PE100 BP PN16 para eletrofusão DE 160</t>
  </si>
  <si>
    <t>Tubo politileno PE100 PN12,5 faixa ocre para esgoto (barra com 6m) DE 160</t>
  </si>
  <si>
    <t>019.053</t>
  </si>
  <si>
    <t>019.054</t>
  </si>
  <si>
    <t>019.055</t>
  </si>
  <si>
    <t>019.056</t>
  </si>
  <si>
    <t>019.057</t>
  </si>
  <si>
    <t>010002020</t>
  </si>
  <si>
    <t>Revestimento com bloco de concreto tipo Paver – esp. 6 cm - natural</t>
  </si>
  <si>
    <t>Tampa simples articulada prfv vao 0800 x 0800 mm</t>
  </si>
  <si>
    <t>Tampao fd ou fofo t-12 articulado passagem livre 130mm carga 12,5t para registro padrao sanepar</t>
  </si>
  <si>
    <t>Tampao fd ou fofo com tampa e aro grelhado classe 400 kn redondo passagem livre minimo 555mm articulado betume para poco visita dn 600</t>
  </si>
  <si>
    <t>POÇO DE SUCÇÃO E RAC</t>
  </si>
  <si>
    <t>ABRIGO</t>
  </si>
  <si>
    <t>EXTERNO</t>
  </si>
  <si>
    <t>PAINEL ELÉTRICO</t>
  </si>
  <si>
    <t>LINHA DE RECALQUE</t>
  </si>
  <si>
    <t>SERVIÇOS INICIAIS</t>
  </si>
  <si>
    <t>TOTAL</t>
  </si>
  <si>
    <t>Cabo de cobre, têmpera mole, classe 5, 0,6/1kV, EPR 90º, tipo Eprotenax Gsette, fab. PRYSMIAN (PIRELLI) ou similar, secão 120mm² (285530)</t>
  </si>
  <si>
    <t>Cabo de cobre, têmpera mole, classe 5, 0,6/1kV, EPR 90º, tipo Eprotenax Gsette, fab. PRYSMIAN (PIRELLI) ou similar, secão 50mm²</t>
  </si>
  <si>
    <t>BRAÇADEIRA EM AÇO GALV., ALUMINIO, INOX, PVC</t>
  </si>
  <si>
    <t>Braçadeira com cunha cônica para aperto, em aço galvanizado, ref. SRS-652, fab. SISA ou similar, bitola 3/4"</t>
  </si>
  <si>
    <t>042.035</t>
  </si>
  <si>
    <t>PRENSA CABO EM ALUMINIO, NYLON E LATÃO</t>
  </si>
  <si>
    <t>Prensa cabo em alumínio silício, rosca BSP, ref. PC.  fab. WETZEL ou similar, bitola 3/4"</t>
  </si>
  <si>
    <t>Luminária lumicenter com placa de led integrada, 26w</t>
  </si>
  <si>
    <t>Conector prensa cabo para acabamento de eletroduto 3/4"</t>
  </si>
  <si>
    <t>Eletroduto de aço galvanizado à fogo, pesado, barras de 3m, NBR-5598, fab. ELECON ou similar, bitola 3/4"</t>
  </si>
  <si>
    <t>Tampa para equipamento em alumínio, com parafusos para instalação em condulete, bitola 3/4",  fab. DAISA ou similar, para 2 módulos (interruptor) + tomada padrão brasileiro</t>
  </si>
  <si>
    <t>042011001</t>
  </si>
  <si>
    <t>042011002</t>
  </si>
  <si>
    <t>Caixa de passagem e ligação em liga de alumínio injetado, tipo condulete, tamanho N, instalação abrigada (D-S-PA), ref. DN, fab. DAISA ou similar, bitola 3/4", tipo LL</t>
  </si>
  <si>
    <t>Caixa de passagem e ligação em liga de alumínio injetado, tipo condulete, tamanho N, instalação abrigada (D-S-PA), ref. DN, fab. DAISA ou similar, bitola 3/4", tipo LR</t>
  </si>
  <si>
    <t>042011007</t>
  </si>
  <si>
    <t>Caixa de passagem e ligação em liga de alumínio injetado, tipo condulete, tamanho N, instalação abrigada (D-S-PA), ref. DN, fab. DAISA ou similar, bitola 3/4", tipo C</t>
  </si>
  <si>
    <t>Cabo flexível 2,5mm² 1kv preto</t>
  </si>
  <si>
    <t>Cabo flexível 2,5mm² 1kv azul</t>
  </si>
  <si>
    <t>Cabo flexível 2,5mm² 1kv verde</t>
  </si>
  <si>
    <t>COMPOSIÇÃO DE BDI E BASE DE PREÇOS</t>
  </si>
  <si>
    <t>CUSTO DIRETO:</t>
  </si>
  <si>
    <t>COMPOSIÇÃO DO BDI PARA MODALIDADE A PREÇO UNITÁRIO</t>
  </si>
  <si>
    <r>
      <rPr>
        <b/>
        <sz val="11"/>
        <rFont val="Calibri"/>
        <family val="2"/>
      </rPr>
      <t xml:space="preserve">BASE DE CÁLCULO: </t>
    </r>
    <r>
      <rPr>
        <sz val="11"/>
        <rFont val="Calibri"/>
        <family val="2"/>
      </rPr>
      <t xml:space="preserve">Acórdão nº 2.622/2013 - TCU Plenário (TC 036.076/2011-2)
</t>
    </r>
    <r>
      <rPr>
        <b/>
        <sz val="11"/>
        <rFont val="Calibri"/>
        <family val="2"/>
      </rPr>
      <t xml:space="preserve">FÓRMULA:
</t>
    </r>
    <r>
      <rPr>
        <sz val="11"/>
        <rFont val="Calibri"/>
        <family val="2"/>
      </rPr>
      <t xml:space="preserve">Onde:
</t>
    </r>
    <r>
      <rPr>
        <b/>
        <sz val="11"/>
        <rFont val="Calibri"/>
        <family val="2"/>
      </rPr>
      <t xml:space="preserve">BDI = </t>
    </r>
    <r>
      <rPr>
        <sz val="11"/>
        <rFont val="Calibri"/>
        <family val="2"/>
      </rPr>
      <t xml:space="preserve">LDI: bonificações e despesas indiretas (BDI) ou lucros e despesas indretas (LDI)
</t>
    </r>
    <r>
      <rPr>
        <b/>
        <sz val="11"/>
        <rFont val="Calibri"/>
        <family val="2"/>
      </rPr>
      <t xml:space="preserve">AC: </t>
    </r>
    <r>
      <rPr>
        <sz val="11"/>
        <rFont val="Calibri"/>
        <family val="2"/>
      </rPr>
      <t xml:space="preserve">Taxa de rateio da administração central
</t>
    </r>
    <r>
      <rPr>
        <b/>
        <sz val="11"/>
        <rFont val="Calibri"/>
        <family val="2"/>
      </rPr>
      <t xml:space="preserve">S: </t>
    </r>
    <r>
      <rPr>
        <sz val="11"/>
        <rFont val="Calibri"/>
        <family val="2"/>
      </rPr>
      <t xml:space="preserve">Taxa representativa de seguros
</t>
    </r>
    <r>
      <rPr>
        <b/>
        <sz val="11"/>
        <rFont val="Calibri"/>
        <family val="2"/>
      </rPr>
      <t xml:space="preserve">R: </t>
    </r>
    <r>
      <rPr>
        <sz val="11"/>
        <rFont val="Calibri"/>
        <family val="2"/>
      </rPr>
      <t xml:space="preserve">Riscos e imprevistos
</t>
    </r>
    <r>
      <rPr>
        <b/>
        <sz val="11"/>
        <rFont val="Calibri"/>
        <family val="2"/>
      </rPr>
      <t xml:space="preserve">G: </t>
    </r>
    <r>
      <rPr>
        <sz val="11"/>
        <rFont val="Calibri"/>
        <family val="2"/>
      </rPr>
      <t xml:space="preserve">Taxa que representa o ônus das garantias exigidas em edital
</t>
    </r>
    <r>
      <rPr>
        <b/>
        <sz val="11"/>
        <rFont val="Calibri"/>
        <family val="2"/>
      </rPr>
      <t xml:space="preserve">DF: </t>
    </r>
    <r>
      <rPr>
        <sz val="11"/>
        <rFont val="Calibri"/>
        <family val="2"/>
      </rPr>
      <t xml:space="preserve">Taxa representativa das despesas financeiras
</t>
    </r>
    <r>
      <rPr>
        <b/>
        <sz val="11"/>
        <rFont val="Calibri"/>
        <family val="2"/>
      </rPr>
      <t xml:space="preserve">L: </t>
    </r>
    <r>
      <rPr>
        <sz val="11"/>
        <rFont val="Calibri"/>
        <family val="2"/>
      </rPr>
      <t xml:space="preserve">Remuneração bruta do construtor
</t>
    </r>
    <r>
      <rPr>
        <b/>
        <sz val="11"/>
        <rFont val="Calibri"/>
        <family val="2"/>
      </rPr>
      <t>I:</t>
    </r>
    <r>
      <rPr>
        <sz val="11"/>
        <rFont val="Calibri"/>
        <family val="2"/>
      </rPr>
      <t xml:space="preserve"> Taxa representativa dos tributos
</t>
    </r>
    <r>
      <rPr>
        <b/>
        <sz val="11"/>
        <rFont val="Calibri"/>
        <family val="2"/>
      </rPr>
      <t xml:space="preserve">CP: </t>
    </r>
    <r>
      <rPr>
        <sz val="11"/>
        <rFont val="Calibri"/>
        <family val="2"/>
      </rPr>
      <t xml:space="preserve">Tributos (COFINS  e PIS)
</t>
    </r>
    <r>
      <rPr>
        <b/>
        <sz val="11"/>
        <rFont val="Calibri"/>
        <family val="2"/>
      </rPr>
      <t xml:space="preserve">ISS: </t>
    </r>
    <r>
      <rPr>
        <sz val="11"/>
        <rFont val="Calibri"/>
        <family val="2"/>
      </rPr>
      <t xml:space="preserve">Tributos (ISS, variável de acordo com o município)
</t>
    </r>
    <r>
      <rPr>
        <b/>
        <sz val="11"/>
        <rFont val="Calibri"/>
        <family val="2"/>
      </rPr>
      <t xml:space="preserve">CPRB: </t>
    </r>
    <r>
      <rPr>
        <sz val="11"/>
        <rFont val="Calibri"/>
        <family val="2"/>
      </rPr>
      <t>Tributos (Contribuição Previdenciária sobre a Receita Bruta)</t>
    </r>
  </si>
  <si>
    <t>Largura Vala</t>
  </si>
  <si>
    <t>COMPOSIÇÃO DO BDI 1 - OBRAS E SERVIÇOS</t>
  </si>
  <si>
    <t>Diâmetro</t>
  </si>
  <si>
    <t>CONSTRUÇÃO DE REDES DE ABASTECIMENTO DE ÁGUA, COLETA DE ESGOTO E CONSTRUÇÕES CORRELATAS</t>
  </si>
  <si>
    <t>SL</t>
  </si>
  <si>
    <t>SIGLA</t>
  </si>
  <si>
    <t>DISCRIMINAÇÃO DAS PARCELAS</t>
  </si>
  <si>
    <t>BDI - SEM
DESONERAÇÃO</t>
  </si>
  <si>
    <t>X</t>
  </si>
  <si>
    <t>AC</t>
  </si>
  <si>
    <t>Administração Central</t>
  </si>
  <si>
    <t>Y</t>
  </si>
  <si>
    <t>SG</t>
  </si>
  <si>
    <t>Seguro e Garantia</t>
  </si>
  <si>
    <t>R</t>
  </si>
  <si>
    <t>Risco</t>
  </si>
  <si>
    <t>DF</t>
  </si>
  <si>
    <t>Despesas Financeiras</t>
  </si>
  <si>
    <t>L</t>
  </si>
  <si>
    <t>Lucro</t>
  </si>
  <si>
    <t>I</t>
  </si>
  <si>
    <t>COFINS</t>
  </si>
  <si>
    <t>PIS</t>
  </si>
  <si>
    <t>ISS</t>
  </si>
  <si>
    <t>CRPB ( 0% ou 3,6% - Desoneração)</t>
  </si>
  <si>
    <t>TOTAL BDI 1 - OBRAS E SERVIÇOS</t>
  </si>
  <si>
    <t>C0MPOSIÇÃO DO BDI 2 - FORNECIMENTO DE MATERIAIS E EQUIPAMENTOS</t>
  </si>
  <si>
    <t>TOTAL BDI 2 - FORNECIMENTO DE MATERIAIS E EQUIPAMENTOS</t>
  </si>
  <si>
    <r>
      <rPr>
        <b/>
        <sz val="10"/>
        <rFont val="Calibri"/>
        <family val="2"/>
      </rPr>
      <t xml:space="preserve">NOTA:
1) </t>
    </r>
    <r>
      <rPr>
        <sz val="10"/>
        <rFont val="Calibri"/>
        <family val="2"/>
      </rPr>
      <t xml:space="preserve">Alíquotas do PIS e COFINS definidas pelo Decreto nº 4.524/2002.
</t>
    </r>
    <r>
      <rPr>
        <b/>
        <sz val="10"/>
        <rFont val="Calibri"/>
        <family val="2"/>
      </rPr>
      <t xml:space="preserve">2) </t>
    </r>
    <r>
      <rPr>
        <sz val="10"/>
        <rFont val="Calibri"/>
        <family val="2"/>
      </rPr>
      <t xml:space="preserve">Alíquota do Imposto Sobre Serviço (ISS) definida pela da Lei Municipal nº 691/1984 alterada pela Lei 1.513 de 27/12/1989 - Art. 1°.
</t>
    </r>
    <r>
      <rPr>
        <b/>
        <sz val="10"/>
        <rFont val="Calibri"/>
        <family val="2"/>
      </rPr>
      <t xml:space="preserve">3) </t>
    </r>
    <r>
      <rPr>
        <sz val="10"/>
        <rFont val="Calibri"/>
        <family val="2"/>
      </rPr>
      <t xml:space="preserve">Alíquota da Contribuição Previdenciária sobre Receita Bruta (CPRB) definida pela Lei 13.161/2015. Aplicado apenas a desoneração.
</t>
    </r>
    <r>
      <rPr>
        <b/>
        <sz val="10"/>
        <rFont val="Calibri"/>
        <family val="2"/>
      </rPr>
      <t xml:space="preserve">4) </t>
    </r>
    <r>
      <rPr>
        <sz val="10"/>
        <rFont val="Calibri"/>
        <family val="2"/>
      </rPr>
      <t>Parâmetros de cálculo do BDI, estão conforme limites do Acórdão nº 2.622/2014 - TCU Plenário (TC 036.076/2011-2)</t>
    </r>
  </si>
  <si>
    <t>ELABORAÇÃO DE ORÇAMENTO PARA ELEVATÓRIA PA4</t>
  </si>
  <si>
    <t>PA4</t>
  </si>
  <si>
    <t>001004003</t>
  </si>
  <si>
    <t>Tapume de chapa de madeira compensada</t>
  </si>
  <si>
    <t>002006001</t>
  </si>
  <si>
    <t>Perfuração em solo (trado) sem estadia da equipe - Cidade Pólo</t>
  </si>
  <si>
    <t>Solos em geral, profundidade 0 m &lt; h = 4 m</t>
  </si>
  <si>
    <t>004007002</t>
  </si>
  <si>
    <t>008009006</t>
  </si>
  <si>
    <t>Plana em chapa resinada e= 12 mm</t>
  </si>
  <si>
    <t>008022021</t>
  </si>
  <si>
    <t>fck = 40,0 MPa - slump 12</t>
  </si>
  <si>
    <t>009007001</t>
  </si>
  <si>
    <t>DN 80</t>
  </si>
  <si>
    <t>012003011</t>
  </si>
  <si>
    <t>Emboço, traço 1:3 com impermeabilizante em parede</t>
  </si>
  <si>
    <t>012004001</t>
  </si>
  <si>
    <t xml:space="preserve">Raspagem, lixamento e limpeza </t>
  </si>
  <si>
    <t>013005033</t>
  </si>
  <si>
    <t>Condutor isolado - cabo 10,0 mm²</t>
  </si>
  <si>
    <t>014004064</t>
  </si>
  <si>
    <t>Válvula entre flanges até DN 200</t>
  </si>
  <si>
    <t>014044029</t>
  </si>
  <si>
    <t>Tubo e conexão FD JF PN-10 DN 80</t>
  </si>
  <si>
    <t>016.002</t>
  </si>
  <si>
    <t>POÇO EM ANÉIS DE CONCRETO ARMADO</t>
  </si>
  <si>
    <t>Acréscimo p/profundidade superior a 1,00m</t>
  </si>
  <si>
    <t>016002003</t>
  </si>
  <si>
    <t>DN 1200 para profundidade até 1,00 m</t>
  </si>
  <si>
    <t>016002004</t>
  </si>
  <si>
    <t>016017002</t>
  </si>
  <si>
    <t>Meio profissional</t>
  </si>
  <si>
    <t>017.022</t>
  </si>
  <si>
    <t>DESLOCAMENTO PARA LIGAÇÃO PREDIAL DE ESGOTO</t>
  </si>
  <si>
    <t>VALOR TOTAL</t>
  </si>
  <si>
    <t>Paraná</t>
  </si>
  <si>
    <t>Daniel Gama</t>
  </si>
  <si>
    <t>Rodrigo A. Zanatta</t>
  </si>
  <si>
    <t>Tapume</t>
  </si>
  <si>
    <t>2 Lados</t>
  </si>
  <si>
    <t>Locação</t>
  </si>
  <si>
    <t>LR</t>
  </si>
  <si>
    <t>Prof.</t>
  </si>
  <si>
    <t>Recomposição</t>
  </si>
  <si>
    <t>DESCRIÇÃO</t>
  </si>
  <si>
    <t>UNIDADE</t>
  </si>
  <si>
    <t>TUBO POLIETILENO PE 100 PN10 FAIXA OCRE PARA ESGOTO (BARRA COM 6,0 M) DE16 - L=1600 mm</t>
  </si>
  <si>
    <t>UN</t>
  </si>
  <si>
    <t>COLARINHO POLIETILENO INJETADO TERMOFUSAO PE 100 PN10 DE160</t>
  </si>
  <si>
    <t>TOCO DE TUBO FD FF PN10 MEDINDO 0.25M PARA ESGOTO DN150</t>
  </si>
  <si>
    <t>CONJUNTO MOTOBOMBA EM LINHA</t>
  </si>
  <si>
    <t>TE REDUCAO FD FFF PARA ESGOTO DN100 DN80</t>
  </si>
  <si>
    <t>VENTOSA COMBINADA/TRIPLICE FUNCAO PARA ESGOTO CORPO EM PRFV OU NYLON REFORCADO COM CAPACIDADE VAZAO MINIMA A 0,4 BAR DE 220,0 M3/H FLANGE PN10/16 DN100 POL4”</t>
  </si>
  <si>
    <t>TE FD FFF PARA ESGOTO PN10 DN80</t>
  </si>
  <si>
    <t>TOCO DE TUBO FD FF 700MM COM ABA DE VEDACAO PN10 PARA ESGOTO DN80</t>
  </si>
  <si>
    <t>COLARINHO POLIETILENO INJETADO TERMOFUSAO PE 100 PN10 DE90</t>
  </si>
  <si>
    <t>VALVULA GUILHOTINA BIDIRECIONAL FD LUG/SEMILUG/WAFER MANUAL CASTELO QUADRADO E VOLANTE PARA ESGOTO/AGUA BRUTA 10 BAR FURACAO PN10 HASTE PROL 0.01 A 1.0M DN80</t>
  </si>
  <si>
    <t>TUBO FD K9 PF (SOLDA INTERFERENCIA) PARA ESGOTO PN10 MEDINDO 1,26M DN150</t>
  </si>
  <si>
    <t>CURVA FD FF 22 PARA ESGOTO PN10 DN80</t>
  </si>
  <si>
    <t>TUBO FD K9 PF (SOLDA INTERFERENCIA) PARA ESGOTO PN10 MEDINDO 0,70M DN80</t>
  </si>
  <si>
    <t>CONJUNTO MOTOBOMBA SUBMERSIVELQ=22,9 M3/H</t>
  </si>
  <si>
    <t>ADAPTADOR CURTO PPR80 BOLSA/ROSCA MACHO BSP TERMOFUSAO PN 10 DE 90 POL 3”</t>
  </si>
  <si>
    <t>UNIAO PPR FLANGEADA DE90 PN10</t>
  </si>
  <si>
    <t>CURVA LONGA 90 POLIPROPILENO RANDOMICO (PPR) DE90</t>
  </si>
  <si>
    <t>TUBO PPR80 JS PP TERMOFUSAO (BARRA COM 6,0 METROS) PN 10 DE 90</t>
  </si>
  <si>
    <t>VALVULA GUILHOTINA BIDIRECIONAL FD LUG/SEMILUG/WAFER MANUAL CASTELO QUADRADO E VOLANTE PARA ESGOTO/AGUA BRUTA 10 BAR FURACAO PN10 DN100</t>
  </si>
  <si>
    <t>FLANGE ACO CARBONO COM FURACAO PARA COLARINHO PEAD EPOXI ISO 12944 320UM C5M DURABILIDADE ALTA OU PP (NBR 7675/15593) PN10 DE90 DN80</t>
  </si>
  <si>
    <t>FLANGE ACO CARBONO PARA COLARINHO PEAD EPOXI ISO 12944 320UM C5M DURABILIDADE ALTA OU PP (NBR 7675/15593) PN10 DE160 DN150</t>
  </si>
  <si>
    <t>KIT PARAFUSO PORCA ARRUELA LISA ACO CARBONO ARRUELA VEDACAO FURACAO PARA ESGOTO PN10 NBR 7675 PARA FLANGE AVULSA PARA COLARINHO PEAD DN80</t>
  </si>
  <si>
    <t>KIT PARAFUSO PORCA ARRUELA LISA ACO CARBONO ARRUELA VEDACAO FURACAO PARA ESGOTO PN10 NBR 7675 PARA FLANGE AVULSA PARA COLARINHO PEAD DN150</t>
  </si>
  <si>
    <t>KIT PARAFUSO PORCA ARRUELA LISA ACO CARBONO ARRUELA VEDACAO FURACAO PN10 PARA VALVULAS BORBOLETA WAFER AWWA C504 NBR 7675 DN80</t>
  </si>
  <si>
    <t>KIT PARAFUSO PORCA ARRUELA LISA ACO CARBONO ARRUELA VEDACAO FURACAO PN10 PARA VALVULAS BORBOLETA WAFER AWWA C504 NBR 7675 DN100</t>
  </si>
  <si>
    <t>KIT PARAFUSO PORCA ARRUELA LISA ACO INOX ARRUELA VEDACAO FURACAO PARA ESGOTO PN10 NBR 7675 DN80</t>
  </si>
  <si>
    <t>KIT PARAFUSO PORCA ARRUELA LISA ACO INOX ARRUELA VEDACAO FURACAO PARA ESGOTO PN10 NBR 7675 DN100</t>
  </si>
  <si>
    <t>KIT PARAFUSO PORCA ARRUELA LISA ACO INOX ARRUELA VEDACAO FURACAO PARA ESGOTO PN10 NBR 7675 DN150</t>
  </si>
  <si>
    <t>Piso abrigo elétrico</t>
  </si>
  <si>
    <t>Alt.</t>
  </si>
  <si>
    <t>VALOR</t>
  </si>
  <si>
    <t>Valor</t>
  </si>
  <si>
    <t>Item</t>
  </si>
  <si>
    <t>Unid.</t>
  </si>
  <si>
    <t>IMPLANTAÇÃO GERAL</t>
  </si>
  <si>
    <t>ELETRODUTO/DUTO PEAD FLEXIVEL PAREDE SIMPLES, CORRUGACAO HELICOIDAL, COR PRETA, SEM ROSCA, DE 2", PARA CABEAMENTO SUBTERRANEO (NBR 15715)</t>
  </si>
  <si>
    <t>CONDULETE TIPO LB DE ALUMÍNIO, TAMPA CEGA, Ø 2"</t>
  </si>
  <si>
    <t>UN.</t>
  </si>
  <si>
    <t>CONDULETE TIPO T DE ALUMÍNIO, TAMPA CEGA, Ø 2"</t>
  </si>
  <si>
    <t>CAIXA DE CONCRETO ARMADO PRE-MOLDADO, COM FUNDO E TAMPA, DIMENSOES DE 0,40 X 0,40 X 0,40 M</t>
  </si>
  <si>
    <t>RELAÇÃO DE EQUIPAMENTOS ELÉTRICOS E DE AUTOMAÇÃO</t>
  </si>
  <si>
    <t>PAINEL ELÉTRICO ǪCM - ǪUADRO DE COMANDO E PROTEÇÃO DE MOTORES, COM ACIONAMENTO PARA 2 MOTOR COM INVERSOR 3CV, 220V, 3F, 60HZ, INSTALAÇÃO ABRIGADA, A SER MONTADO E TESTADO CONFORME PROJETO E ESPECIFICAÇÃO TÉCNICA.</t>
  </si>
  <si>
    <t>CHAVE DE NÍVEL TIPO PERA COM CONTATO NA+NF</t>
  </si>
  <si>
    <t>RELAÇÃO DE SERVIÇOS ESPECÍFICOS E DE AUTOMAÇÃO</t>
  </si>
  <si>
    <t>ELETRICISTA (HORISTA)</t>
  </si>
  <si>
    <t>H</t>
  </si>
  <si>
    <t>AJUDANTE DE ELETRICISTA (HORISTA)</t>
  </si>
  <si>
    <t>PEDREIRO (HORISTA)</t>
  </si>
  <si>
    <t>AUXILIAR DE PEDREIRO (HORISTA)</t>
  </si>
  <si>
    <t>COMISSIONAMENTO E STARTUP DE ELEVATORIA COM 2 CMB (1+1) COM CLP</t>
  </si>
  <si>
    <t>IMPLANTAÇÃO ATERRAMENTO GERAL</t>
  </si>
  <si>
    <t>CABO DE COBRE NU 50MM² - 7 FIOS X DN 3,00MM</t>
  </si>
  <si>
    <t>CAIXA DE EǪUIPOTENCIALIZAÇÃO EM TERMOPLÁSTICO COM 9 FUROS</t>
  </si>
  <si>
    <t>HASTE DE ATERRAMENTO DIÂMETRO 3/4" COMPRIMENTO 3,00M</t>
  </si>
  <si>
    <t>TERMINAL ESTANHADO 1 FURO A COMPRESSÃO, REF: TEL-5150</t>
  </si>
  <si>
    <t>CONECTORES DE PRESSÃO TIPO SPLIT-BOLT, REF: TEL-5018</t>
  </si>
  <si>
    <t>CAIXA DE INSPEÇÃO EM PROPILENO DN 300MM TEL-552PP</t>
  </si>
  <si>
    <t>LISTA DE CABOS GERAIS</t>
  </si>
  <si>
    <t>CABO DE COBRE, TÊMPERA MOLE, CLASSE 5, 0,6/1KV, EPR 90º, UNIPOLAR TIPO EPROTENAX GSETTE - COR AZUL 10MM²</t>
  </si>
  <si>
    <t>CABO DE COBRE, TÊMPERA MOLE, CLASSE 5, 0,6/1KV, EPR 90º, PP TETRAPOLAR EPROTENAX GSETTE - COR PRETA 2,5MM²</t>
  </si>
  <si>
    <t>CABO DE INSTRUMENTAÇÃO COM BLINDAGEM ELETROSTÁTICA 1X[2#1,5MM²+SH]</t>
  </si>
  <si>
    <r>
      <rPr>
        <sz val="10"/>
        <rFont val="Arial"/>
        <family val="2"/>
      </rPr>
      <t>ELETRODUTO Ø 2" ACO CARBONO GALVANIZADO ZICAGEM POR IMERSAO A ǪUENTE, SEM ROSCA,
CL PESADA (PAREDE 2,25MM), NBR 5598. BARRA DE 3,0 M-FORNECIMENTO E ASS</t>
    </r>
  </si>
  <si>
    <t>042011036</t>
  </si>
  <si>
    <t>Caixa de passagem e ligação em liga de alumínio injetado, tipo condulete, tamanho N, instalação abrigada (D-S-PA), ref. DN, fab. DAISA ou similar, bitola 2", tipo T</t>
  </si>
  <si>
    <t>Conector parafuso fendido  simples (split-bolt), para condutor de cobre, fab. INTELLI ou similar, bitola 16mm² (152986)</t>
  </si>
  <si>
    <t>CABO DE COBRE, TÊMPERA MOLE, CLASSE 5, 0,6/1KV, EPR 90º, UNIPOLAR TIPO EPROTENAX GSETTE - COR PRETA 10MM²</t>
  </si>
  <si>
    <t>CABO DE COBRE, TÊMPERA MOLE, CLASSE 5, 0,6/1KV, EPR 90º, UNIPOLAR TIPO EPROTENAX GSETTE - COR VERDE 10MM²</t>
  </si>
  <si>
    <t>042007046</t>
  </si>
  <si>
    <t>Cabo de cobre, têmpera mole, classe 5, 1kV, tipo Sintenax Flex, fab. PRYSMIAN (PIRELLI) ou similar, seção 10mm²</t>
  </si>
  <si>
    <t>040018015</t>
  </si>
  <si>
    <t>Instalação de poste</t>
  </si>
  <si>
    <t>Tubo polietileno PE 100 PN10 faixa ocre para esgoto (rolo com 50,0 m) DE90</t>
  </si>
  <si>
    <t>Curva polietileno injetada 45 termofusao PE 100 PN10 DE90</t>
  </si>
  <si>
    <t>Curva polietileno injetada 90 termofusao PE 100 PN10 DE90</t>
  </si>
  <si>
    <t>Curva polietileno injetada 30 termofusao PE 100 PN10 DE90</t>
  </si>
  <si>
    <t>Joelho ajustavel 0 a 12 graus polietileno PE 100 BP PN16 para eletrofusao DE90</t>
  </si>
  <si>
    <t>tubo polietileno pe 100 pn10 faixa ocre para esgoto (barra com 6,0 m) de16 - l=1600 mm</t>
  </si>
  <si>
    <t>colarinho polietileno injetado termofusao pe 100 pn10 de160</t>
  </si>
  <si>
    <t>toco de tubo fd ff pn10 medindo 0.25m para esgoto dn150</t>
  </si>
  <si>
    <t>conjunto motobomba em linha</t>
  </si>
  <si>
    <t>te reducao fd fff para esgoto dn100 dn80</t>
  </si>
  <si>
    <t>ventosa combinada/triplice funcao para esgoto corpo em prfv ou nylon reforcado com capacidade vazao minima a 0,4 bar de 220,0 m3/h flange pn10/16 dn100 pol4”</t>
  </si>
  <si>
    <t>te fd fff para esgoto pn10 dn80</t>
  </si>
  <si>
    <t>toco de tubo fd ff 700mm com aba de vedacao pn10 para esgoto dn80</t>
  </si>
  <si>
    <t>colarinho polietileno injetado termofusao pe 100 pn10 de90</t>
  </si>
  <si>
    <t>valvula guilhotina bidirecional fd lug/semilug/wafer manual castelo quadrado e volante para esgoto/agua bruta 10 bar furacao pn10 haste prol 0.01 a 1.0m dn80</t>
  </si>
  <si>
    <t>tubo fd k9 pf (solda interferencia) para esgoto pn10 medindo 1,26m dn150</t>
  </si>
  <si>
    <t>curva fd ff 22 para esgoto pn10 dn80</t>
  </si>
  <si>
    <t>tubo fd k9 pf (solda interferencia) para esgoto pn10 medindo 0,70m dn80</t>
  </si>
  <si>
    <t>conjunto motobomba submersivelq=22,9 m3/h</t>
  </si>
  <si>
    <t>adaptador curto ppr80 bolsa/rosca macho bsp termofusao pn 10 de 90 pol 3”</t>
  </si>
  <si>
    <t>uniao ppr flangeada de90 pn10</t>
  </si>
  <si>
    <t>curva longa 90 polipropileno randomico (ppr) de90</t>
  </si>
  <si>
    <t>tubo ppr80 js pp termofusao (barra com 6,0 metros) pn 10 de 90</t>
  </si>
  <si>
    <t>valvula guilhotina bidirecional fd lug/semilug/wafer manual castelo quadrado e volante para esgoto/agua bruta 10 bar furacao pn10 dn100</t>
  </si>
  <si>
    <t>flange aco carbono com furacao para colarinho pead epoxi iso 12944 320um c5m durabilidade alta ou pp (nbr 7675/15593) pn10 de90 dn80</t>
  </si>
  <si>
    <t>flange aco carbono para colarinho pead epoxi iso 12944 320um c5m durabilidade alta ou pp (nbr 7675/15593) pn10 de160 dn150</t>
  </si>
  <si>
    <t>kit parafuso porca arruela lisa aco carbono arruela vedacao furacao para esgoto pn10 nbr 7675 para flange avulsa para colarinho pead dn80</t>
  </si>
  <si>
    <t>kit parafuso porca arruela lisa aco carbono arruela vedacao furacao para esgoto pn10 nbr 7675 para flange avulsa para colarinho pead dn150</t>
  </si>
  <si>
    <t>kit parafuso porca arruela lisa aco carbono arruela vedacao furacao pn10 para valvulas borboleta wafer awwa c504 nbr 7675 dn80</t>
  </si>
  <si>
    <t>kit parafuso porca arruela lisa aco carbono arruela vedacao furacao pn10 para valvulas borboleta wafer awwa c504 nbr 7675 dn100</t>
  </si>
  <si>
    <t>kit parafuso porca arruela lisa aco inox arruela vedacao furacao para esgoto pn10 nbr 7675 dn80</t>
  </si>
  <si>
    <t>kit parafuso porca arruela lisa aco inox arruela vedacao furacao para esgoto pn10 nbr 7675 dn100</t>
  </si>
  <si>
    <t>kit parafuso porca arruela lisa aco inox arruela vedacao furacao para esgoto pn10 nbr 7675 dn150</t>
  </si>
  <si>
    <t>Colarinho polietileno injetado termofusao pe 100 pn10 de160</t>
  </si>
  <si>
    <t>Toco de tubo fd ff pn10 medindo 0.25m para esgoto dn150</t>
  </si>
  <si>
    <t>Te reducao fd fff para esgoto dn100 dn80</t>
  </si>
  <si>
    <t>Ventosa combinada/triplice funcao para esgoto corpo em prfv ou nylon reforcado com capacidade vazao minima a 0,4 bar de 220,0 m3/h flange pn10/16 dn100 pol4”</t>
  </si>
  <si>
    <t>Colarinho polietileno injetado termofusao pe 100 pn10 de90</t>
  </si>
  <si>
    <t>Adaptador curto ppr80 bolsa/rosca macho bsp termofusao pn 10 de 90 pol 3”</t>
  </si>
  <si>
    <t>Uniao ppr flangeada de90 pn10</t>
  </si>
  <si>
    <t>Curva longa 90 polipropileno randomico (ppr) de90</t>
  </si>
  <si>
    <t>Tubo ppr80 js pp termofusao (barra com 6,0 metros) pn 10 de 90</t>
  </si>
  <si>
    <t>Kit parafuso porca arruela lisa aco carbono arruela vedacao furacao para esgoto pn10 nbr 7675 para flange avulsa para colarinho pead dn150</t>
  </si>
  <si>
    <t>cj</t>
  </si>
  <si>
    <t>A=Pi x D x H</t>
  </si>
  <si>
    <t>Area de parede poço</t>
  </si>
  <si>
    <t>Impermeabilização Poço bomba</t>
  </si>
  <si>
    <t>Impermeabilização PV</t>
  </si>
  <si>
    <t xml:space="preserve">Impermeabilização tampa Poço </t>
  </si>
  <si>
    <t>QTD</t>
  </si>
  <si>
    <r>
      <rPr>
        <b/>
        <sz val="9"/>
        <rFont val="Arial"/>
        <family val="2"/>
      </rPr>
      <t>Descrição</t>
    </r>
  </si>
  <si>
    <r>
      <rPr>
        <b/>
        <sz val="9"/>
        <rFont val="Arial"/>
        <family val="2"/>
      </rPr>
      <t>Valor Total</t>
    </r>
  </si>
  <si>
    <r>
      <rPr>
        <sz val="7"/>
        <rFont val="Arial MT"/>
        <family val="2"/>
      </rPr>
      <t>TUBO TB PE100 PLO 160 PN16 SDR11 M.FG</t>
    </r>
  </si>
  <si>
    <r>
      <rPr>
        <sz val="7"/>
        <rFont val="Arial MT"/>
        <family val="2"/>
      </rPr>
      <t>COLARINHO  DE160 PN16 SDR11 M.GF</t>
    </r>
  </si>
  <si>
    <r>
      <rPr>
        <sz val="7"/>
        <rFont val="Arial MT"/>
        <family val="2"/>
      </rPr>
      <t>TOCO TOF10/16  150 X  250 MM M.PA</t>
    </r>
  </si>
  <si>
    <r>
      <rPr>
        <sz val="7"/>
        <rFont val="Arial MT"/>
        <family val="2"/>
      </rPr>
      <t>TE-FLS TFF10/16  100 X   80 MM M.PA</t>
    </r>
  </si>
  <si>
    <r>
      <rPr>
        <sz val="7"/>
        <rFont val="Arial MT"/>
        <family val="2"/>
      </rPr>
      <t>TE-FLS TFF10/16/25   80 X   80 MM M.PA</t>
    </r>
  </si>
  <si>
    <r>
      <rPr>
        <sz val="7"/>
        <rFont val="Arial MT"/>
        <family val="2"/>
      </rPr>
      <t>TUBO-FLS TFL10/16/25   80 X  700 MM AV</t>
    </r>
  </si>
  <si>
    <r>
      <rPr>
        <sz val="7"/>
        <rFont val="Arial MT"/>
        <family val="2"/>
      </rPr>
      <t>COLARINHO  DE 90 PN16 SDR11 M.AG</t>
    </r>
  </si>
  <si>
    <r>
      <rPr>
        <sz val="7"/>
        <rFont val="Arial MT"/>
        <family val="2"/>
      </rPr>
      <t>TUBO-PTA-PTA TUBINTCL  150 X 1260 MM</t>
    </r>
  </si>
  <si>
    <r>
      <rPr>
        <sz val="7"/>
        <rFont val="Arial MT"/>
        <family val="2"/>
      </rPr>
      <t>CURVA-FLS C22FF10/16/25   80 MM M.PA</t>
    </r>
  </si>
  <si>
    <r>
      <rPr>
        <sz val="7"/>
        <rFont val="Arial MT"/>
        <family val="2"/>
      </rPr>
      <t>TUBO-PTA-PTA TUBINTCL   80 X   700 MM</t>
    </r>
  </si>
  <si>
    <r>
      <rPr>
        <sz val="7"/>
        <rFont val="Arial MT"/>
        <family val="2"/>
      </rPr>
      <t>TUBO-PTA-PTA TUBINTCL  150 X  750 MM</t>
    </r>
  </si>
  <si>
    <r>
      <rPr>
        <sz val="7"/>
        <rFont val="Arial MT"/>
        <family val="2"/>
      </rPr>
      <t>CURVA-FLS C45FF10/16  150 MM M.PA</t>
    </r>
  </si>
  <si>
    <r>
      <rPr>
        <sz val="7"/>
        <rFont val="Arial MT"/>
        <family val="2"/>
      </rPr>
      <t>TE-FLS TFF10/16  150 X   50 MM M.PA</t>
    </r>
  </si>
  <si>
    <r>
      <rPr>
        <sz val="7"/>
        <rFont val="Arial MT"/>
        <family val="2"/>
      </rPr>
      <t>JUNTA DESMONT.JDTA10/16 150  R08IMP M.PA</t>
    </r>
  </si>
  <si>
    <r>
      <rPr>
        <sz val="7"/>
        <rFont val="Arial MT"/>
        <family val="2"/>
      </rPr>
      <t>TOCO TOF10/16  150 X  500 MM M.PA</t>
    </r>
  </si>
  <si>
    <r>
      <rPr>
        <sz val="7"/>
        <rFont val="Arial MT"/>
        <family val="2"/>
      </rPr>
      <t>TUBO-PTA-PTA TUBINTCL  150 X 1000 MM</t>
    </r>
  </si>
  <si>
    <r>
      <rPr>
        <sz val="7"/>
        <rFont val="Arial MT"/>
        <family val="2"/>
      </rPr>
      <t>JUNCAO-FLS YFF10/16  150 X  150 MM M.PA</t>
    </r>
  </si>
  <si>
    <r>
      <rPr>
        <sz val="7"/>
        <rFont val="Arial MT"/>
        <family val="2"/>
      </rPr>
      <t>TUBO-PTA-PTA TUBINTCL  150 X  500 MM</t>
    </r>
  </si>
  <si>
    <r>
      <rPr>
        <sz val="7"/>
        <rFont val="Arial MT"/>
        <family val="2"/>
      </rPr>
      <t>TE-FLS TFF10  200 X  200 MM M.PA</t>
    </r>
  </si>
  <si>
    <r>
      <rPr>
        <sz val="7"/>
        <rFont val="Arial MT"/>
        <family val="2"/>
      </rPr>
      <t>TUBO-PTA-PTA TUBINTCL  200 X 1500 MM</t>
    </r>
  </si>
  <si>
    <r>
      <rPr>
        <sz val="7"/>
        <rFont val="Arial MT"/>
        <family val="2"/>
      </rPr>
      <t>TUBO-FL-PT TFP10  200 X  700 AV</t>
    </r>
  </si>
  <si>
    <r>
      <rPr>
        <sz val="7"/>
        <rFont val="Arial MT"/>
        <family val="2"/>
      </rPr>
      <t>TUBO-FLS TUBINTFL10  200 X   250 MM</t>
    </r>
  </si>
  <si>
    <r>
      <rPr>
        <sz val="7"/>
        <rFont val="Arial MT"/>
        <family val="2"/>
      </rPr>
      <t>RED.-FLS RFF10/16  150 X  100 MM M.PA</t>
    </r>
  </si>
  <si>
    <r>
      <rPr>
        <sz val="7"/>
        <rFont val="Arial MT"/>
        <family val="2"/>
      </rPr>
      <t>TUBO-FLS TUBINTFL10/16  150 X  700 MM AV</t>
    </r>
  </si>
  <si>
    <r>
      <rPr>
        <sz val="7"/>
        <rFont val="Arial MT"/>
        <family val="2"/>
      </rPr>
      <t>TUBO-PTA-PTA TUBINTCL  200 X 1000 MM</t>
    </r>
  </si>
  <si>
    <r>
      <rPr>
        <sz val="7"/>
        <rFont val="Arial MT"/>
        <family val="2"/>
      </rPr>
      <t>CURVA-FLS C22FF10  200 MM M.PA</t>
    </r>
  </si>
  <si>
    <r>
      <rPr>
        <sz val="7"/>
        <rFont val="Arial MT"/>
        <family val="2"/>
      </rPr>
      <t>TUBO-PTA-PTA TUBINTCL  150 X 2000 MM</t>
    </r>
  </si>
  <si>
    <r>
      <rPr>
        <sz val="7"/>
        <rFont val="Arial MT"/>
        <family val="2"/>
      </rPr>
      <t>TUBO-FL-PT TUBINTFP10/16  150 X  700AV</t>
    </r>
  </si>
  <si>
    <r>
      <rPr>
        <sz val="7"/>
        <rFont val="Arial MT"/>
        <family val="2"/>
      </rPr>
      <t>TUBO-PTA-PTA TUBINTCL  150 X 3800 MM</t>
    </r>
  </si>
  <si>
    <r>
      <rPr>
        <sz val="7"/>
        <rFont val="Arial MT"/>
        <family val="2"/>
      </rPr>
      <t>TUBO-PTA-PTA TUBINTCL  200 X 5800 MM</t>
    </r>
  </si>
  <si>
    <r>
      <rPr>
        <sz val="7"/>
        <rFont val="Arial MT"/>
        <family val="2"/>
      </rPr>
      <t>ARRUELA BOR. ABFNBR10  150 MM GB</t>
    </r>
  </si>
  <si>
    <r>
      <rPr>
        <sz val="7"/>
        <rFont val="Arial MT"/>
        <family val="2"/>
      </rPr>
      <t>COLARINHO  DE 90 PN16 SDR11 NAC M.GF</t>
    </r>
  </si>
  <si>
    <r>
      <rPr>
        <sz val="7"/>
        <rFont val="Arial MT"/>
        <family val="2"/>
      </rPr>
      <t>TUBO-FL-PT TUBINTFP10/16/25   80 X 500MM</t>
    </r>
  </si>
  <si>
    <r>
      <rPr>
        <sz val="7"/>
        <rFont val="Arial MT"/>
        <family val="2"/>
      </rPr>
      <t>CURVA-FLS C45FF10/16/25   80 MM M.PA</t>
    </r>
  </si>
  <si>
    <r>
      <rPr>
        <sz val="7"/>
        <rFont val="Arial MT"/>
        <family val="2"/>
      </rPr>
      <t>TUBO-PTA-PTA TUBINTCL   80 X 1500 MM</t>
    </r>
  </si>
  <si>
    <r>
      <rPr>
        <sz val="7"/>
        <rFont val="Arial MT"/>
        <family val="2"/>
      </rPr>
      <t>TE-FLS TFF10/16/25   80 X   50 MM M.PA</t>
    </r>
  </si>
  <si>
    <r>
      <rPr>
        <sz val="7"/>
        <rFont val="Arial MT"/>
        <family val="2"/>
      </rPr>
      <t>JUNTA DESMONT.JDTA10/16   80  R08IM M.PA</t>
    </r>
  </si>
  <si>
    <r>
      <rPr>
        <sz val="7"/>
        <rFont val="Arial MT"/>
        <family val="2"/>
      </rPr>
      <t>TUBO-PTA-PTA TUBINTCL   80 X 1000 MM</t>
    </r>
  </si>
  <si>
    <r>
      <rPr>
        <sz val="7"/>
        <rFont val="Arial MT"/>
        <family val="2"/>
      </rPr>
      <t>JUNCAO-FLS YFF10/16/25   80 X   80 M.PA</t>
    </r>
  </si>
  <si>
    <r>
      <rPr>
        <sz val="7"/>
        <rFont val="Arial MT"/>
        <family val="2"/>
      </rPr>
      <t>TOCO TOF10/16/25   80 X  250 MM M.PA</t>
    </r>
  </si>
  <si>
    <r>
      <rPr>
        <sz val="7"/>
        <rFont val="Arial MT"/>
        <family val="2"/>
      </rPr>
      <t>CURVA-FLS C90FF10/16/25   80 MM M.PA</t>
    </r>
  </si>
  <si>
    <r>
      <rPr>
        <sz val="7"/>
        <rFont val="Arial MT"/>
        <family val="2"/>
      </rPr>
      <t>TUBO-FL-PT TUBINTFP10/16/25   80 X 700AV</t>
    </r>
  </si>
  <si>
    <r>
      <rPr>
        <sz val="7"/>
        <rFont val="Arial MT"/>
        <family val="2"/>
      </rPr>
      <t>TUBO-PTA-PTA TUBINTCL   80 X 4000 MM</t>
    </r>
  </si>
  <si>
    <r>
      <rPr>
        <sz val="7"/>
        <rFont val="Arial MT"/>
        <family val="2"/>
      </rPr>
      <t>TUBO-PTA-PTA TUBINTCL   80 X 2300 MM</t>
    </r>
  </si>
  <si>
    <r>
      <rPr>
        <sz val="7"/>
        <rFont val="Arial MT"/>
        <family val="2"/>
      </rPr>
      <t>RED.-FLS REFF10/16  100 X   80 MM M.IN</t>
    </r>
  </si>
  <si>
    <r>
      <rPr>
        <sz val="7"/>
        <rFont val="Arial MT"/>
        <family val="2"/>
      </rPr>
      <t>TE-FLS TFF10/16  150 X  150 MM M.PA</t>
    </r>
  </si>
  <si>
    <r>
      <rPr>
        <sz val="7"/>
        <rFont val="Arial MT"/>
        <family val="2"/>
      </rPr>
      <t>CURVA-FLS C22FF10/16  150 MM M.PA</t>
    </r>
  </si>
  <si>
    <r>
      <rPr>
        <sz val="7"/>
        <rFont val="Arial MT"/>
        <family val="2"/>
      </rPr>
      <t>TUBO-PTA-PTA TUBINTCL  150 X 1300 MM</t>
    </r>
  </si>
  <si>
    <r>
      <rPr>
        <sz val="7"/>
        <rFont val="Arial MT"/>
        <family val="2"/>
      </rPr>
      <t>TUBO-PTA-PTA TUBINTCL  150 X 1400 MM</t>
    </r>
  </si>
  <si>
    <r>
      <rPr>
        <b/>
        <sz val="9"/>
        <rFont val="Arial"/>
        <family val="2"/>
      </rPr>
      <t xml:space="preserve">Cidade: </t>
    </r>
    <r>
      <rPr>
        <vertAlign val="superscript"/>
        <sz val="8"/>
        <rFont val="Arial MT"/>
        <family val="2"/>
      </rPr>
      <t xml:space="preserve">SAO PAULO
</t>
    </r>
    <r>
      <rPr>
        <b/>
        <sz val="9"/>
        <rFont val="Arial"/>
        <family val="2"/>
      </rPr>
      <t>Fax:</t>
    </r>
  </si>
  <si>
    <r>
      <rPr>
        <b/>
        <sz val="9"/>
        <rFont val="Arial"/>
        <family val="2"/>
      </rPr>
      <t>Site:</t>
    </r>
  </si>
  <si>
    <r>
      <rPr>
        <b/>
        <sz val="9"/>
        <rFont val="Arial"/>
        <family val="2"/>
      </rPr>
      <t xml:space="preserve">I.E.:  </t>
    </r>
    <r>
      <rPr>
        <vertAlign val="superscript"/>
        <sz val="9"/>
        <rFont val="Arial MT"/>
        <family val="2"/>
      </rPr>
      <t>115674165111</t>
    </r>
  </si>
  <si>
    <r>
      <rPr>
        <b/>
        <sz val="9"/>
        <rFont val="Arial"/>
        <family val="2"/>
      </rPr>
      <t xml:space="preserve">Vendedor: </t>
    </r>
    <r>
      <rPr>
        <vertAlign val="superscript"/>
        <sz val="8"/>
        <rFont val="Arial MT"/>
        <family val="2"/>
      </rPr>
      <t>63</t>
    </r>
  </si>
  <si>
    <r>
      <rPr>
        <b/>
        <sz val="8"/>
        <rFont val="Arial"/>
        <family val="2"/>
      </rPr>
      <t>Bairro:</t>
    </r>
  </si>
  <si>
    <r>
      <rPr>
        <sz val="8"/>
        <rFont val="Arial MT"/>
        <family val="2"/>
      </rPr>
      <t xml:space="preserve">ALPHAVILLE INDUSTRIA </t>
    </r>
    <r>
      <rPr>
        <b/>
        <vertAlign val="superscript"/>
        <sz val="8"/>
        <rFont val="Arial"/>
        <family val="2"/>
      </rPr>
      <t xml:space="preserve">CEP:  </t>
    </r>
    <r>
      <rPr>
        <sz val="8"/>
        <rFont val="Arial MT"/>
        <family val="2"/>
      </rPr>
      <t>06455000</t>
    </r>
  </si>
  <si>
    <r>
      <rPr>
        <b/>
        <sz val="8"/>
        <rFont val="Arial"/>
        <family val="2"/>
      </rPr>
      <t xml:space="preserve">FAX:  </t>
    </r>
    <r>
      <rPr>
        <sz val="8"/>
        <rFont val="Arial MT"/>
        <family val="2"/>
      </rPr>
      <t>00000000000</t>
    </r>
  </si>
  <si>
    <r>
      <rPr>
        <b/>
        <vertAlign val="superscript"/>
        <sz val="8"/>
        <rFont val="Arial"/>
        <family val="2"/>
      </rPr>
      <t xml:space="preserve">Contato:   </t>
    </r>
    <r>
      <rPr>
        <sz val="8"/>
        <rFont val="Arial MT"/>
        <family val="2"/>
      </rPr>
      <t>DENIO</t>
    </r>
  </si>
  <si>
    <r>
      <rPr>
        <b/>
        <sz val="8"/>
        <rFont val="Arial"/>
        <family val="2"/>
      </rPr>
      <t xml:space="preserve">EMAIL: </t>
    </r>
    <r>
      <rPr>
        <sz val="8"/>
        <rFont val="Arial MT"/>
        <family val="2"/>
      </rPr>
      <t>denio.maciel@2ssconstrucoes.com.br</t>
    </r>
  </si>
  <si>
    <r>
      <rPr>
        <b/>
        <sz val="9"/>
        <rFont val="Arial"/>
        <family val="2"/>
      </rPr>
      <t>Unid.</t>
    </r>
  </si>
  <si>
    <r>
      <rPr>
        <sz val="7"/>
        <rFont val="Arial MT"/>
        <family val="2"/>
      </rPr>
      <t>PC</t>
    </r>
  </si>
  <si>
    <r>
      <rPr>
        <sz val="7"/>
        <rFont val="Arial MT"/>
        <family val="2"/>
      </rPr>
      <t>ARRUELA BOR. ABFNBR10   50 MM GB</t>
    </r>
  </si>
  <si>
    <r>
      <rPr>
        <sz val="7"/>
        <rFont val="Arial MT"/>
        <family val="2"/>
      </rPr>
      <t>PARAF.PORC.AR G.FOGO  5/8 X 4 TP</t>
    </r>
  </si>
  <si>
    <r>
      <rPr>
        <sz val="7"/>
        <rFont val="Arial MT"/>
        <family val="2"/>
      </rPr>
      <t>CJ</t>
    </r>
  </si>
  <si>
    <r>
      <rPr>
        <sz val="7"/>
        <rFont val="Arial MT"/>
        <family val="2"/>
      </rPr>
      <t>ARRUELA BOR. ABFNBR10   80 MM GB</t>
    </r>
  </si>
  <si>
    <r>
      <rPr>
        <sz val="7"/>
        <rFont val="Arial MT"/>
        <family val="2"/>
      </rPr>
      <t>PARAF.PORC.AR G.FOGO  ¾ X 4.½ TP</t>
    </r>
  </si>
  <si>
    <r>
      <rPr>
        <b/>
        <sz val="8"/>
        <rFont val="Arial"/>
        <family val="2"/>
      </rPr>
      <t xml:space="preserve">FOB: </t>
    </r>
    <r>
      <rPr>
        <vertAlign val="subscript"/>
        <sz val="17"/>
        <rFont val="Wingdings"/>
        <family val="5"/>
      </rPr>
      <t></t>
    </r>
  </si>
  <si>
    <r>
      <rPr>
        <sz val="9"/>
        <rFont val="Arial MT"/>
        <family val="2"/>
      </rPr>
      <t xml:space="preserve">10 dias
</t>
    </r>
    <r>
      <rPr>
        <sz val="9"/>
        <rFont val="Arial MT"/>
        <family val="2"/>
      </rPr>
      <t xml:space="preserve">A COMBINAR- sujeito à análise de INCLUSOS
</t>
    </r>
    <r>
      <rPr>
        <sz val="9"/>
        <rFont val="Arial MT"/>
        <family val="2"/>
      </rPr>
      <t>até 0 dias</t>
    </r>
  </si>
  <si>
    <t>Cidade:</t>
  </si>
  <si>
    <t>https://www.plastolandia.com.br/adaptador-curto-polipropileno-bolsa-rosca-preto-3-x-90-mm</t>
  </si>
  <si>
    <t>https://www.mercadolivre.com.br/uniao-ppr-flangeada-dn90-amanco/up/MLBU1476326669</t>
  </si>
  <si>
    <t>https://www.mercadolivre.com.br/curva-ppr-verde-longa-90-x--90mm-topfusion/up/MLBU3621032319#polycard_client=search-desktop&amp;be_origin=backend&amp;search_layout=grid&amp;position=2&amp;type=product&amp;tracking_id=0550b0ff-cd04-494d-9508-51b655be897c&amp;wid=MLB4325259309&amp;sid=search</t>
  </si>
  <si>
    <t>https://www.plastolandia.com.br/tubo-polipropileno-solda-preto-pn-10-90-mm-x-8-20-mm-x-6-m</t>
  </si>
  <si>
    <t>https://www.mercadolivre.com.br/flange-solto-aco-din-pn1016-para-colarinho-pead-110mm/up/MLBU1750777736</t>
  </si>
  <si>
    <t>https://www.instaagro.com/ventosa-combinada-triplice-func-o-com-dispositivo-anti-golpe-sp-para-esgoto-residuos-industriais-mod-c50-g-sp-4-dn-100-flange-ansi-150-corpo-aco-inox-bermad?srsltid=AfmBOop5B4mg9HZO_ju3WRa5gO9kb0qHBmGykROg6e7s1PIsyfVWx_38</t>
  </si>
  <si>
    <t>https://mininco.com.br/products/curva-45-termofusao-pead-pn8-de-90mm-1?_pos=2&amp;_sid=1553216d8&amp;_ss=r</t>
  </si>
  <si>
    <t>https://mininco.com.br/products/curva-90-termofusao-pead-pn10-de-90mm?_pos=1&amp;_sid=1553216d8&amp;_ss=r</t>
  </si>
  <si>
    <t>https://www.mercadolivre.com.br/colarinho-eletrofusao-pead-pe100-sdr11-160mm/up/MLBU1726017073</t>
  </si>
  <si>
    <t>Escada tipo marinheiro PRFV sem gaiola altura menor que 3,5m</t>
  </si>
  <si>
    <t>https://www.mercadolivre.com.br/escada-marinheiro-de-aluminio-200-m--cor-branca/up/MLBU1136718753</t>
  </si>
  <si>
    <t>POÇO</t>
  </si>
  <si>
    <t>POÇO DE VISITA</t>
  </si>
  <si>
    <t>Escavação poço</t>
  </si>
  <si>
    <t>Escavação PV</t>
  </si>
  <si>
    <t>Tampao fd classe 125 kn 850/910mm passagem livre articulada aro/aba betume para poco visita garantia 1 ano logo padrao sanepar</t>
  </si>
  <si>
    <t>EEE</t>
  </si>
  <si>
    <t>ANÁLISE TÉCNICA</t>
  </si>
  <si>
    <t>19.035</t>
  </si>
  <si>
    <t>19.036</t>
  </si>
  <si>
    <t>19.037</t>
  </si>
  <si>
    <t>19.038</t>
  </si>
  <si>
    <t>19.001</t>
  </si>
  <si>
    <t>Valvula guilhotina bidirecional fd lug/semilug/wafer manual castelo quadrado e volante para esgoto/agua bruta 16 bar furacao pn16 dn80</t>
  </si>
  <si>
    <t>FLANGE ACO CARBONO PARA COLARINHO PEAD EPOXI ISO 12944 320UM C5M DURABILIDADE ALTA OU PP (NBR 7675/15593) PN16 DE110 DN100</t>
  </si>
  <si>
    <t>KIT PARAFUSO PORCA ARRUELA LISA ACO CARBONO ARRUELA VEDACAO FURACAO PARA ESGOTO PN16 NBR 7675 PARA FLANGE AVULSA PARA COLARINHO PEAD DN100</t>
  </si>
  <si>
    <t>KIT PARAFUSO PORCA ARRUELA LISA ACO CARBONO ARRUELA VEDACAO FURACAO PN16 NBR 7675 DN80</t>
  </si>
  <si>
    <t>KIT PARAFUSO PORCA ARRUELA LISA ACO CARBONO ARRUELA VEDACAO FURACAO PN16 NBR 7675 DN100</t>
  </si>
  <si>
    <t>KIT PARAFUSO PORCA ARRUELA LISA ACO CARBONO ARRUELA VEDACAO FURACAO PN16 PARA VALVULAS BORBOLETA WAFER AWWA C504 NBR 7675 DN80</t>
  </si>
  <si>
    <t>Kit parafuso porca arruela lisa aco carbono arruela vedacao furacao pn16 para valvulas borboleta wafer awwa c504 nbr 7675 dn80</t>
  </si>
  <si>
    <t>EXTREMIDADE FD PF 700MM COM ABA DE VEDACAO PARA ESGOTO PN16 DN80</t>
  </si>
  <si>
    <t>Extremidade fd pf 700mm com aba de vedacao para esgoto pn16 dn80</t>
  </si>
  <si>
    <t>ELABORAÇÃO DE ORÇAMENTO PARA ESTAÇÃO ELEVATÓRIA DE ESGOTO</t>
  </si>
  <si>
    <t>Tampão fd classe 125 para poco de visita padrao sanepar</t>
  </si>
  <si>
    <t>Tubo polietileno pe 100 pn10 faixa ocre para esgoto (barra com 6,0 m) de160 - l=1600 mm</t>
  </si>
  <si>
    <t>Forma</t>
  </si>
  <si>
    <t>Aço</t>
  </si>
  <si>
    <t>Concreto 40MPa</t>
  </si>
  <si>
    <t>Concreto magro</t>
  </si>
  <si>
    <t>QUANTITATIVO</t>
  </si>
  <si>
    <t>ITEM</t>
  </si>
  <si>
    <t>QUANTIDADE</t>
  </si>
  <si>
    <t>TUBO POLIETILENO PE 100 PN10 FAIXA OCRE PARA ESGOTO (BARRA COM 6,0 M) DE160 - L=1600 mm</t>
  </si>
  <si>
    <t>VALVULA GUILHOTINA BIDIRECIONAL FD LUG/SEMILUG/WAFER MANUAL CASTELO QUADRADO E VOLANTE PARA ESGOTO/AGUA BRUTA 16 BAR FURACAO PN16 DN80</t>
  </si>
  <si>
    <t>CONJUNTO MOTOBOMBA EM LINHA (Q=3,5l/s; H=9,97mca)</t>
  </si>
  <si>
    <t>TE REDUCAO FD FFF PARA ESGOTO PN16 DN100 DN80</t>
  </si>
  <si>
    <t>VENTOSA COMBINADA/TRIPLICE FUNCAO PARA ESGOTO CORPO EM PRFV OU NYLON REFORCADO COM CAPACIDADE VAZAO MINIMA A 0,4 BAR DE 220,0 M3/H FLANGE PN10/16 DN100 POL4"</t>
  </si>
  <si>
    <t>TE FD FFF PN16 PARA ESGOTO DN80</t>
  </si>
  <si>
    <t>TOCO DE TUBO FD FF PN16 MEDINDO 0.50 METROS PARA ESGOTO DN80</t>
  </si>
  <si>
    <t>TOCO DE TUBO FD FF 700MM COM ABA DE VEDACAO PN16 PARA ESGOTO DN80</t>
  </si>
  <si>
    <t>TUBO FD K9 FF (SOLDA INTERFERENCIA) PARA ESGOTO PN16 MEDINDO 1,20M DN80</t>
  </si>
  <si>
    <t>CURVA FD JE 2GS BB 22 PARA ESGOTO DN80</t>
  </si>
  <si>
    <t>TUBO FD K9 PP PARA ESGOTO (0,9M) DN80</t>
  </si>
  <si>
    <t>CONJUNTO MOTOBOMBA SUBMERSIVEL Q=22,9 M3/H (DRENAGEM)</t>
  </si>
  <si>
    <t>ADAPTADOR CURTO PPR80 BOLSA/ROSCA MACHO BSP TERMOFUSAO PN 10 DE 90 POL 3"</t>
  </si>
  <si>
    <t>s/n</t>
  </si>
  <si>
    <t>FLANGE ACO CARBONO PARA COLARINHO PEAD EPOXI ISO 12944 320UM C5M DURABILIDADE ALTA OU PP (NBR 7675/15593) PN16 DE90 DN80</t>
  </si>
  <si>
    <t>KIT PARAFUSO PORCA ARRUELA LISA ACO CARBONO ARRUELA VEDACAO FURACAO PARA ESGOTO PN16 NBR 7675 PARA FLANGE AVULSA PARA COLARINHO PEAD DN80</t>
  </si>
  <si>
    <t>KIT PARAFUSO PORCA ARRUELA LISA ACO CARBONO ARRUELA VEDACAO FURACAO PARA ESGOTO PN16 PARA VALVULAS BORBOLETA WAFER AWWA C504 NBR 7675 DN80</t>
  </si>
  <si>
    <t>Pavimento - Concreto</t>
  </si>
  <si>
    <t>ABRIGO METÁLICO</t>
  </si>
  <si>
    <t>https://loja.bsepaineis.com.br/armarios-paineis-modulares/painel-modular-padrao/de-2200-100mm-de-altura/painel-eletrico-modular-2200-100x800x800?nocache=1782147986842</t>
  </si>
  <si>
    <t>Poço</t>
  </si>
  <si>
    <t>PV</t>
  </si>
  <si>
    <t>BASE ABRIGO</t>
  </si>
  <si>
    <t>011001002</t>
  </si>
  <si>
    <t>Alvenaria de tijolo maciço 1 vez</t>
  </si>
  <si>
    <t>Abrigo metálico para painel elétrico</t>
  </si>
  <si>
    <t>Impermeabilização</t>
  </si>
  <si>
    <t>Mureta energia</t>
  </si>
  <si>
    <t>Comp</t>
  </si>
  <si>
    <t>Alt</t>
  </si>
  <si>
    <t>Pintura mureta</t>
  </si>
  <si>
    <t>SB-A2</t>
  </si>
  <si>
    <t>Altamira do Paraná</t>
  </si>
  <si>
    <t>Conjunto motobomba em linha (Q=3,5l/s; H=9,97mca) e conjunto motobomba submersivelq=22,9 m3/h</t>
  </si>
  <si>
    <t>Te fd fff para pn16 esgoto dn80</t>
  </si>
  <si>
    <t>Toco de tubo fd ff 700mm com aba de vedacao pn16 para esgoto dn80</t>
  </si>
  <si>
    <t>Tubo fd k9 ff (solda interferencia) para esgoto pn16 medindo 1,20m dn80</t>
  </si>
  <si>
    <t>Curva fd je 2gs bb 22 para esgoto dn80</t>
  </si>
  <si>
    <t>Tubo fd k9 pp para esgoto (0,9m) dn80</t>
  </si>
  <si>
    <t>Toco de tubo fd ff pn16 medindo 0,50 metros para esgoto dn80</t>
  </si>
  <si>
    <t>Flange aco carbono para colarinho pead epoxi iso 12944 320um c5m durabilidade alta ou pp (nbr 7675/15593) pn16 de90 dn80</t>
  </si>
  <si>
    <t>Kit parafuso porca arruela lisa aco carbono arruela vedacao furacao para esgoto pn10 nbr 7675 para flange avulsa para colarinho pead dn80</t>
  </si>
  <si>
    <t>Kit parafuso porca arruela lisa aco carbono arruela vedacao furacao para esgoto pn16 nbr 7675 dn80</t>
  </si>
  <si>
    <t>Kit parafuso porca arruela lisa aco carbono arruela vedacao furacao para esgoto pn16 nbr 7675 dn100</t>
  </si>
  <si>
    <t>Haste de aterramento, núcleo de aço revestido por cobre eletrolítico, alta camada, diâmetro 3/4", comprimento 3m. fab. INTELLI ou similar</t>
  </si>
  <si>
    <t>404002003</t>
  </si>
  <si>
    <t>Eletroduto corrugado PEAD Ø 50mm (2”)</t>
  </si>
  <si>
    <t>405002005</t>
  </si>
  <si>
    <t>Eletroduto FG Ø 50mm (2”)</t>
  </si>
  <si>
    <t>CABO DE COBRE, TÊMPERA MOLE, CLASSE 5, 0,6/1KV, EPR 90º, PP TETRAPOLAR EPROTENAX GSETTE -
COR PRETA 2,5MM²</t>
  </si>
  <si>
    <t>Cabo de cobre, têmpera mole, classe 5, 0,6/1kv, epr 90º, pp tetrapolar eprotenax gsette - cor preta 2,5mm²</t>
  </si>
  <si>
    <t>ENTRADA DE ENERGIA COM MEDIÇÃO EM MURETA E ESTRUTURA PARA FIBRA ÓPTICA</t>
  </si>
  <si>
    <t>400001010</t>
  </si>
  <si>
    <t>Entrada de energia trifásica 100 A, 220/127V, em mureta, com estrutura para fibra óptica</t>
  </si>
  <si>
    <t>042016010</t>
  </si>
  <si>
    <t xml:space="preserve">Caixa para equipamentos de medição, padrão Copel, em chapa de aço 18 USG, pintura eletrostática cinza munsell N 6.5, para uso ao tempo, tipo "CN", Código 101004-2, dimensões 350 x 450 x 200 mm, fab. Bruzamolin ou similar </t>
  </si>
  <si>
    <t>Painel elétrico</t>
  </si>
  <si>
    <t>INSTALAÇÕES PEAD/FD/PPR</t>
  </si>
  <si>
    <t>014001001</t>
  </si>
  <si>
    <t>Cmb submerso (poço profundo) até 10 CV</t>
  </si>
  <si>
    <t>002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</si>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</sst>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.0"/>
    <numFmt numFmtId="165" formatCode="[$-10416]&quot;R$&quot;\ #,##0.00;&quot;R$&quot;\ \-#,##0.00"/>
    <numFmt numFmtId="166" formatCode="mm/dd/yyyy;@"/>
    <numFmt numFmtId="167" formatCode="0."/>
    <numFmt numFmtId="168" formatCode="00.00"/>
  </numFmts>
  <fonts count="60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6"/>
      <color theme="1"/>
      <name val="Montserrat"/>
    </font>
    <font>
      <b/>
      <sz val="14"/>
      <color rgb="FF000000"/>
      <name val="Arial"/>
      <family val="2"/>
    </font>
    <font>
      <b/>
      <sz val="14"/>
      <name val="Montserrat"/>
    </font>
    <font>
      <b/>
      <sz val="16"/>
      <name val="Montserrat"/>
    </font>
    <font>
      <sz val="12"/>
      <name val="Montserrat"/>
    </font>
    <font>
      <b/>
      <sz val="11"/>
      <color rgb="FF00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Times New Roman"/>
      <family val="1"/>
    </font>
    <font>
      <b/>
      <sz val="12"/>
      <name val="Arial"/>
      <family val="2"/>
    </font>
    <font>
      <b/>
      <sz val="10"/>
      <color rgb="FF000000"/>
      <name val="Times New Roman"/>
      <family val="1"/>
    </font>
    <font>
      <sz val="11"/>
      <name val="Arial"/>
      <family val="2"/>
    </font>
    <font>
      <sz val="10"/>
      <color rgb="FF000000"/>
      <name val="Times New Roman"/>
      <family val="1"/>
    </font>
    <font>
      <sz val="10"/>
      <name val="Calibri"/>
      <family val="2"/>
    </font>
    <font>
      <sz val="10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4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Calibri"/>
      <family val="2"/>
    </font>
    <font>
      <sz val="10"/>
      <name val="Arial MT"/>
    </font>
    <font>
      <sz val="10"/>
      <color rgb="FF000000"/>
      <name val="Arial MT"/>
      <family val="2"/>
    </font>
    <font>
      <b/>
      <sz val="9"/>
      <name val="Arial"/>
      <family val="2"/>
    </font>
    <font>
      <sz val="7"/>
      <color rgb="FF000000"/>
      <name val="Arial MT"/>
      <family val="2"/>
    </font>
    <font>
      <sz val="7"/>
      <name val="Arial MT"/>
    </font>
    <font>
      <sz val="7"/>
      <name val="Arial MT"/>
      <family val="2"/>
    </font>
    <font>
      <b/>
      <sz val="8"/>
      <name val="Arial"/>
      <family val="2"/>
    </font>
    <font>
      <vertAlign val="superscript"/>
      <sz val="8"/>
      <name val="Arial MT"/>
      <family val="2"/>
    </font>
    <font>
      <sz val="9"/>
      <name val="Arial MT"/>
    </font>
    <font>
      <vertAlign val="superscript"/>
      <sz val="9"/>
      <name val="Arial MT"/>
      <family val="2"/>
    </font>
    <font>
      <sz val="8"/>
      <name val="Arial MT"/>
    </font>
    <font>
      <sz val="8"/>
      <name val="Arial MT"/>
      <family val="2"/>
    </font>
    <font>
      <b/>
      <vertAlign val="superscript"/>
      <sz val="8"/>
      <name val="Arial"/>
      <family val="2"/>
    </font>
    <font>
      <sz val="8"/>
      <color rgb="FF000000"/>
      <name val="Arial MT"/>
      <family val="2"/>
    </font>
    <font>
      <vertAlign val="subscript"/>
      <sz val="17"/>
      <name val="Wingdings"/>
      <family val="5"/>
    </font>
    <font>
      <sz val="9"/>
      <name val="Arial MT"/>
      <family val="2"/>
    </font>
    <font>
      <i/>
      <sz val="9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0"/>
      <name val="Calibri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rgb="FFDCDCDC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34998626667073579"/>
        <bgColor rgb="FFFFFFFF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rgb="FFDCDCDC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D3D3D3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0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5" fillId="0" borderId="0"/>
    <xf numFmtId="0" fontId="18" fillId="0" borderId="0"/>
    <xf numFmtId="0" fontId="22" fillId="0" borderId="0"/>
    <xf numFmtId="0" fontId="25" fillId="0" borderId="0"/>
    <xf numFmtId="0" fontId="18" fillId="0" borderId="0"/>
    <xf numFmtId="9" fontId="13" fillId="0" borderId="0" applyFill="0" applyBorder="0" applyAlignment="0" applyProtection="0"/>
    <xf numFmtId="0" fontId="52" fillId="0" borderId="0" applyNumberFormat="0" applyFill="0" applyBorder="0" applyAlignment="0" applyProtection="0"/>
  </cellStyleXfs>
  <cellXfs count="634">
    <xf numFmtId="0" fontId="0" fillId="0" borderId="0" xfId="0"/>
    <xf numFmtId="0" fontId="3" fillId="0" borderId="0" xfId="1" applyFont="1" applyAlignment="1">
      <alignment horizontal="center" vertical="center" wrapText="1" readingOrder="1"/>
    </xf>
    <xf numFmtId="0" fontId="7" fillId="2" borderId="1" xfId="1" applyFont="1" applyFill="1" applyBorder="1" applyAlignment="1">
      <alignment horizontal="center" vertical="center" wrapText="1" readingOrder="1"/>
    </xf>
    <xf numFmtId="0" fontId="10" fillId="2" borderId="1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8" fillId="2" borderId="1" xfId="1" applyFont="1" applyFill="1" applyBorder="1" applyAlignment="1">
      <alignment horizontal="center" vertical="top" wrapText="1"/>
    </xf>
    <xf numFmtId="44" fontId="8" fillId="2" borderId="1" xfId="1" applyNumberFormat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/>
    </xf>
    <xf numFmtId="0" fontId="8" fillId="4" borderId="1" xfId="1" applyFont="1" applyFill="1" applyBorder="1" applyAlignment="1">
      <alignment horizontal="center" vertical="top" wrapText="1"/>
    </xf>
    <xf numFmtId="44" fontId="8" fillId="4" borderId="1" xfId="1" applyNumberFormat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top" wrapText="1"/>
    </xf>
    <xf numFmtId="44" fontId="8" fillId="0" borderId="1" xfId="2" applyFont="1" applyFill="1" applyBorder="1" applyAlignment="1">
      <alignment vertical="top" wrapText="1"/>
    </xf>
    <xf numFmtId="44" fontId="8" fillId="0" borderId="1" xfId="1" applyNumberFormat="1" applyFont="1" applyBorder="1" applyAlignment="1">
      <alignment vertical="top" wrapText="1"/>
    </xf>
    <xf numFmtId="44" fontId="8" fillId="4" borderId="1" xfId="2" applyFont="1" applyFill="1" applyBorder="1" applyAlignment="1">
      <alignment vertical="top" wrapText="1"/>
    </xf>
    <xf numFmtId="44" fontId="8" fillId="2" borderId="1" xfId="2" applyFont="1" applyFill="1" applyBorder="1" applyAlignment="1">
      <alignment vertical="top" wrapText="1"/>
    </xf>
    <xf numFmtId="0" fontId="0" fillId="0" borderId="1" xfId="0" applyBorder="1"/>
    <xf numFmtId="44" fontId="8" fillId="0" borderId="0" xfId="1" applyNumberFormat="1" applyFont="1" applyAlignment="1">
      <alignment horizontal="center"/>
    </xf>
    <xf numFmtId="0" fontId="8" fillId="4" borderId="1" xfId="0" applyFont="1" applyFill="1" applyBorder="1" applyAlignment="1">
      <alignment vertical="top" wrapText="1"/>
    </xf>
    <xf numFmtId="0" fontId="10" fillId="2" borderId="1" xfId="1" applyFont="1" applyFill="1" applyBorder="1" applyAlignment="1">
      <alignment horizontal="center" vertical="center"/>
    </xf>
    <xf numFmtId="0" fontId="27" fillId="11" borderId="1" xfId="1" applyFont="1" applyFill="1" applyBorder="1" applyAlignment="1">
      <alignment horizontal="center" vertical="top" wrapText="1"/>
    </xf>
    <xf numFmtId="0" fontId="27" fillId="11" borderId="1" xfId="1" applyFont="1" applyFill="1" applyBorder="1" applyAlignment="1">
      <alignment vertical="top" wrapText="1"/>
    </xf>
    <xf numFmtId="0" fontId="21" fillId="4" borderId="1" xfId="1" applyFont="1" applyFill="1" applyBorder="1" applyAlignment="1">
      <alignment horizontal="center" vertical="top" wrapText="1"/>
    </xf>
    <xf numFmtId="44" fontId="21" fillId="4" borderId="1" xfId="1" applyNumberFormat="1" applyFont="1" applyFill="1" applyBorder="1" applyAlignment="1">
      <alignment horizontal="center" vertical="top" wrapText="1"/>
    </xf>
    <xf numFmtId="44" fontId="21" fillId="4" borderId="1" xfId="2" applyFont="1" applyFill="1" applyBorder="1" applyAlignment="1">
      <alignment vertical="top" wrapText="1"/>
    </xf>
    <xf numFmtId="44" fontId="21" fillId="4" borderId="1" xfId="1" applyNumberFormat="1" applyFont="1" applyFill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top" wrapText="1"/>
    </xf>
    <xf numFmtId="44" fontId="21" fillId="0" borderId="1" xfId="2" applyFont="1" applyFill="1" applyBorder="1" applyAlignment="1">
      <alignment vertical="top" wrapText="1"/>
    </xf>
    <xf numFmtId="44" fontId="21" fillId="0" borderId="1" xfId="1" applyNumberFormat="1" applyFont="1" applyBorder="1" applyAlignment="1">
      <alignment vertical="top" wrapText="1"/>
    </xf>
    <xf numFmtId="0" fontId="21" fillId="2" borderId="1" xfId="1" applyFont="1" applyFill="1" applyBorder="1" applyAlignment="1">
      <alignment horizontal="center" vertical="top" wrapText="1"/>
    </xf>
    <xf numFmtId="44" fontId="21" fillId="2" borderId="1" xfId="2" applyFont="1" applyFill="1" applyBorder="1" applyAlignment="1">
      <alignment vertical="top" wrapText="1"/>
    </xf>
    <xf numFmtId="44" fontId="21" fillId="2" borderId="1" xfId="1" applyNumberFormat="1" applyFont="1" applyFill="1" applyBorder="1" applyAlignment="1">
      <alignment horizontal="center" vertical="center" wrapText="1"/>
    </xf>
    <xf numFmtId="0" fontId="27" fillId="4" borderId="1" xfId="1" applyFont="1" applyFill="1" applyBorder="1" applyAlignment="1">
      <alignment horizontal="center" vertical="top" wrapText="1"/>
    </xf>
    <xf numFmtId="0" fontId="28" fillId="11" borderId="1" xfId="1" applyFont="1" applyFill="1" applyBorder="1" applyAlignment="1">
      <alignment horizontal="center" vertical="top" wrapText="1"/>
    </xf>
    <xf numFmtId="44" fontId="28" fillId="11" borderId="1" xfId="2" applyFont="1" applyFill="1" applyBorder="1" applyAlignment="1">
      <alignment vertical="top" wrapText="1"/>
    </xf>
    <xf numFmtId="44" fontId="28" fillId="11" borderId="1" xfId="1" applyNumberFormat="1" applyFont="1" applyFill="1" applyBorder="1" applyAlignment="1">
      <alignment vertical="top" wrapText="1"/>
    </xf>
    <xf numFmtId="44" fontId="21" fillId="4" borderId="1" xfId="1" applyNumberFormat="1" applyFont="1" applyFill="1" applyBorder="1" applyAlignment="1">
      <alignment vertical="top" wrapText="1"/>
    </xf>
    <xf numFmtId="2" fontId="28" fillId="11" borderId="1" xfId="1" applyNumberFormat="1" applyFont="1" applyFill="1" applyBorder="1" applyAlignment="1">
      <alignment horizontal="center" vertical="top" wrapText="1"/>
    </xf>
    <xf numFmtId="0" fontId="10" fillId="2" borderId="1" xfId="1" applyFont="1" applyFill="1" applyBorder="1" applyAlignment="1">
      <alignment horizontal="center" vertical="top" wrapText="1"/>
    </xf>
    <xf numFmtId="44" fontId="10" fillId="2" borderId="1" xfId="2" applyFont="1" applyFill="1" applyBorder="1" applyAlignment="1">
      <alignment vertical="top" wrapText="1"/>
    </xf>
    <xf numFmtId="0" fontId="10" fillId="4" borderId="1" xfId="1" applyFont="1" applyFill="1" applyBorder="1" applyAlignment="1">
      <alignment horizontal="center" vertical="top" wrapText="1"/>
    </xf>
    <xf numFmtId="0" fontId="21" fillId="0" borderId="1" xfId="1" applyFont="1" applyBorder="1" applyAlignment="1">
      <alignment horizontal="center" vertical="center" wrapText="1"/>
    </xf>
    <xf numFmtId="44" fontId="21" fillId="0" borderId="1" xfId="1" applyNumberFormat="1" applyFont="1" applyBorder="1" applyAlignment="1">
      <alignment vertical="center" wrapText="1"/>
    </xf>
    <xf numFmtId="0" fontId="21" fillId="0" borderId="1" xfId="0" applyFont="1" applyBorder="1" applyAlignment="1">
      <alignment horizontal="center" vertical="top" wrapText="1"/>
    </xf>
    <xf numFmtId="2" fontId="21" fillId="0" borderId="1" xfId="1" applyNumberFormat="1" applyFont="1" applyBorder="1" applyAlignment="1">
      <alignment horizontal="center" vertical="top" wrapText="1"/>
    </xf>
    <xf numFmtId="2" fontId="21" fillId="4" borderId="1" xfId="1" applyNumberFormat="1" applyFont="1" applyFill="1" applyBorder="1" applyAlignment="1">
      <alignment horizontal="center" vertical="top" wrapText="1"/>
    </xf>
    <xf numFmtId="44" fontId="10" fillId="4" borderId="1" xfId="2" applyFont="1" applyFill="1" applyBorder="1" applyAlignment="1">
      <alignment horizontal="center" vertical="top" wrapText="1"/>
    </xf>
    <xf numFmtId="0" fontId="28" fillId="11" borderId="1" xfId="1" applyFont="1" applyFill="1" applyBorder="1" applyAlignment="1">
      <alignment horizontal="center" vertical="center" wrapText="1"/>
    </xf>
    <xf numFmtId="44" fontId="28" fillId="11" borderId="1" xfId="1" applyNumberFormat="1" applyFont="1" applyFill="1" applyBorder="1" applyAlignment="1">
      <alignment vertical="center" wrapText="1"/>
    </xf>
    <xf numFmtId="0" fontId="21" fillId="4" borderId="1" xfId="0" applyFont="1" applyFill="1" applyBorder="1" applyAlignment="1">
      <alignment horizontal="center" vertical="top" wrapText="1"/>
    </xf>
    <xf numFmtId="44" fontId="10" fillId="4" borderId="1" xfId="2" applyFont="1" applyFill="1" applyBorder="1" applyAlignment="1">
      <alignment vertical="top" wrapText="1"/>
    </xf>
    <xf numFmtId="0" fontId="21" fillId="0" borderId="1" xfId="1" applyFont="1" applyBorder="1" applyAlignment="1">
      <alignment horizontal="center"/>
    </xf>
    <xf numFmtId="44" fontId="19" fillId="2" borderId="1" xfId="1" applyNumberFormat="1" applyFont="1" applyFill="1" applyBorder="1" applyAlignment="1">
      <alignment horizontal="center"/>
    </xf>
    <xf numFmtId="0" fontId="28" fillId="11" borderId="1" xfId="1" applyFont="1" applyFill="1" applyBorder="1" applyAlignment="1">
      <alignment horizontal="center" vertical="top" wrapText="1" readingOrder="1"/>
    </xf>
    <xf numFmtId="0" fontId="27" fillId="11" borderId="1" xfId="1" applyFont="1" applyFill="1" applyBorder="1" applyAlignment="1">
      <alignment horizontal="center" vertical="top" wrapText="1" readingOrder="1"/>
    </xf>
    <xf numFmtId="10" fontId="27" fillId="11" borderId="1" xfId="1" applyNumberFormat="1" applyFont="1" applyFill="1" applyBorder="1" applyAlignment="1">
      <alignment horizontal="center" vertical="top" wrapText="1" readingOrder="1"/>
    </xf>
    <xf numFmtId="0" fontId="27" fillId="11" borderId="1" xfId="1" applyFont="1" applyFill="1" applyBorder="1" applyAlignment="1">
      <alignment vertical="top" wrapText="1" readingOrder="1"/>
    </xf>
    <xf numFmtId="0" fontId="7" fillId="4" borderId="1" xfId="1" applyFont="1" applyFill="1" applyBorder="1" applyAlignment="1">
      <alignment horizontal="center" vertical="top" wrapText="1" readingOrder="1"/>
    </xf>
    <xf numFmtId="0" fontId="29" fillId="4" borderId="1" xfId="1" applyFont="1" applyFill="1" applyBorder="1" applyAlignment="1">
      <alignment horizontal="center" vertical="top" wrapText="1" readingOrder="1"/>
    </xf>
    <xf numFmtId="10" fontId="29" fillId="4" borderId="1" xfId="1" applyNumberFormat="1" applyFont="1" applyFill="1" applyBorder="1" applyAlignment="1">
      <alignment horizontal="center" vertical="top" wrapText="1" readingOrder="1"/>
    </xf>
    <xf numFmtId="44" fontId="29" fillId="4" borderId="1" xfId="1" applyNumberFormat="1" applyFont="1" applyFill="1" applyBorder="1" applyAlignment="1">
      <alignment vertical="top" wrapText="1" readingOrder="1"/>
    </xf>
    <xf numFmtId="0" fontId="29" fillId="0" borderId="1" xfId="1" applyFont="1" applyBorder="1" applyAlignment="1">
      <alignment horizontal="center" vertical="top" wrapText="1" readingOrder="1"/>
    </xf>
    <xf numFmtId="10" fontId="29" fillId="0" borderId="1" xfId="1" applyNumberFormat="1" applyFont="1" applyBorder="1" applyAlignment="1">
      <alignment horizontal="center" vertical="top" wrapText="1" readingOrder="1"/>
    </xf>
    <xf numFmtId="44" fontId="29" fillId="0" borderId="1" xfId="1" applyNumberFormat="1" applyFont="1" applyBorder="1" applyAlignment="1">
      <alignment vertical="top" wrapText="1" readingOrder="1"/>
    </xf>
    <xf numFmtId="0" fontId="7" fillId="2" borderId="1" xfId="1" applyFont="1" applyFill="1" applyBorder="1" applyAlignment="1">
      <alignment horizontal="center" vertical="top" wrapText="1" readingOrder="1"/>
    </xf>
    <xf numFmtId="0" fontId="29" fillId="2" borderId="1" xfId="1" applyFont="1" applyFill="1" applyBorder="1" applyAlignment="1">
      <alignment horizontal="center" vertical="top" wrapText="1" readingOrder="1"/>
    </xf>
    <xf numFmtId="10" fontId="29" fillId="2" borderId="1" xfId="1" applyNumberFormat="1" applyFont="1" applyFill="1" applyBorder="1" applyAlignment="1">
      <alignment horizontal="center" vertical="top" wrapText="1" readingOrder="1"/>
    </xf>
    <xf numFmtId="44" fontId="29" fillId="2" borderId="1" xfId="1" applyNumberFormat="1" applyFont="1" applyFill="1" applyBorder="1" applyAlignment="1">
      <alignment vertical="top" wrapText="1" readingOrder="1"/>
    </xf>
    <xf numFmtId="0" fontId="27" fillId="4" borderId="1" xfId="1" applyFont="1" applyFill="1" applyBorder="1" applyAlignment="1">
      <alignment horizontal="center" vertical="top" wrapText="1" readingOrder="1"/>
    </xf>
    <xf numFmtId="44" fontId="28" fillId="11" borderId="1" xfId="1" applyNumberFormat="1" applyFont="1" applyFill="1" applyBorder="1" applyAlignment="1">
      <alignment vertical="top" wrapText="1" readingOrder="1"/>
    </xf>
    <xf numFmtId="44" fontId="7" fillId="2" borderId="1" xfId="1" applyNumberFormat="1" applyFont="1" applyFill="1" applyBorder="1" applyAlignment="1">
      <alignment vertical="top" wrapText="1" readingOrder="1"/>
    </xf>
    <xf numFmtId="44" fontId="7" fillId="4" borderId="5" xfId="1" applyNumberFormat="1" applyFont="1" applyFill="1" applyBorder="1" applyAlignment="1">
      <alignment horizontal="center" vertical="top" wrapText="1" readingOrder="1"/>
    </xf>
    <xf numFmtId="44" fontId="7" fillId="4" borderId="6" xfId="1" applyNumberFormat="1" applyFont="1" applyFill="1" applyBorder="1" applyAlignment="1">
      <alignment horizontal="center" vertical="top" wrapText="1" readingOrder="1"/>
    </xf>
    <xf numFmtId="44" fontId="7" fillId="4" borderId="1" xfId="1" applyNumberFormat="1" applyFont="1" applyFill="1" applyBorder="1" applyAlignment="1">
      <alignment horizontal="center" vertical="top" wrapText="1" readingOrder="1"/>
    </xf>
    <xf numFmtId="0" fontId="29" fillId="0" borderId="1" xfId="1" applyFont="1" applyBorder="1" applyAlignment="1">
      <alignment horizontal="center" vertical="center" wrapText="1" readingOrder="1"/>
    </xf>
    <xf numFmtId="44" fontId="29" fillId="0" borderId="1" xfId="1" applyNumberFormat="1" applyFont="1" applyBorder="1" applyAlignment="1">
      <alignment vertical="center" wrapText="1" readingOrder="1"/>
    </xf>
    <xf numFmtId="0" fontId="29" fillId="0" borderId="1" xfId="0" applyFont="1" applyBorder="1" applyAlignment="1">
      <alignment horizontal="center" vertical="top" wrapText="1" readingOrder="1"/>
    </xf>
    <xf numFmtId="44" fontId="7" fillId="4" borderId="1" xfId="1" applyNumberFormat="1" applyFont="1" applyFill="1" applyBorder="1" applyAlignment="1">
      <alignment vertical="top" wrapText="1" readingOrder="1"/>
    </xf>
    <xf numFmtId="0" fontId="28" fillId="11" borderId="1" xfId="1" applyFont="1" applyFill="1" applyBorder="1" applyAlignment="1">
      <alignment horizontal="center" vertical="center" wrapText="1" readingOrder="1"/>
    </xf>
    <xf numFmtId="44" fontId="28" fillId="11" borderId="1" xfId="1" applyNumberFormat="1" applyFont="1" applyFill="1" applyBorder="1" applyAlignment="1">
      <alignment vertical="center" wrapText="1" readingOrder="1"/>
    </xf>
    <xf numFmtId="0" fontId="29" fillId="8" borderId="1" xfId="0" applyFont="1" applyFill="1" applyBorder="1" applyAlignment="1">
      <alignment horizontal="center" vertical="top" wrapText="1" readingOrder="1"/>
    </xf>
    <xf numFmtId="44" fontId="28" fillId="11" borderId="1" xfId="1" applyNumberFormat="1" applyFont="1" applyFill="1" applyBorder="1" applyAlignment="1">
      <alignment horizontal="center" vertical="center" wrapText="1"/>
    </xf>
    <xf numFmtId="0" fontId="21" fillId="2" borderId="1" xfId="1" applyFont="1" applyFill="1" applyBorder="1" applyAlignment="1">
      <alignment horizontal="center" vertical="top" wrapText="1" readingOrder="1"/>
    </xf>
    <xf numFmtId="10" fontId="21" fillId="2" borderId="1" xfId="1" applyNumberFormat="1" applyFont="1" applyFill="1" applyBorder="1" applyAlignment="1">
      <alignment horizontal="center" vertical="top" wrapText="1" readingOrder="1"/>
    </xf>
    <xf numFmtId="0" fontId="21" fillId="2" borderId="1" xfId="1" applyFont="1" applyFill="1" applyBorder="1" applyAlignment="1">
      <alignment vertical="top" wrapText="1"/>
    </xf>
    <xf numFmtId="0" fontId="21" fillId="2" borderId="1" xfId="1" applyFont="1" applyFill="1" applyBorder="1" applyAlignment="1">
      <alignment vertical="top" wrapText="1" readingOrder="1"/>
    </xf>
    <xf numFmtId="44" fontId="21" fillId="2" borderId="1" xfId="1" applyNumberFormat="1" applyFont="1" applyFill="1" applyBorder="1" applyAlignment="1">
      <alignment vertical="top" wrapText="1"/>
    </xf>
    <xf numFmtId="1" fontId="21" fillId="0" borderId="1" xfId="1" applyNumberFormat="1" applyFont="1" applyBorder="1" applyAlignment="1">
      <alignment horizontal="center" vertical="top" wrapText="1"/>
    </xf>
    <xf numFmtId="164" fontId="21" fillId="0" borderId="1" xfId="1" applyNumberFormat="1" applyFont="1" applyBorder="1" applyAlignment="1">
      <alignment horizontal="center" vertical="top" wrapText="1"/>
    </xf>
    <xf numFmtId="0" fontId="18" fillId="0" borderId="0" xfId="7" applyAlignment="1">
      <alignment horizontal="left" vertical="center"/>
    </xf>
    <xf numFmtId="0" fontId="20" fillId="0" borderId="0" xfId="7" applyFont="1" applyAlignment="1">
      <alignment horizontal="left" vertical="center"/>
    </xf>
    <xf numFmtId="44" fontId="20" fillId="0" borderId="0" xfId="7" applyNumberFormat="1" applyFont="1" applyAlignment="1">
      <alignment horizontal="left" vertical="center"/>
    </xf>
    <xf numFmtId="10" fontId="13" fillId="0" borderId="0" xfId="8" applyNumberFormat="1" applyAlignment="1">
      <alignment horizontal="left" vertical="center"/>
    </xf>
    <xf numFmtId="0" fontId="20" fillId="0" borderId="13" xfId="7" applyFont="1" applyBorder="1" applyAlignment="1">
      <alignment horizontal="left" vertical="center"/>
    </xf>
    <xf numFmtId="0" fontId="20" fillId="0" borderId="15" xfId="7" applyFont="1" applyBorder="1" applyAlignment="1">
      <alignment horizontal="center" vertical="center"/>
    </xf>
    <xf numFmtId="0" fontId="18" fillId="0" borderId="16" xfId="7" applyBorder="1" applyAlignment="1">
      <alignment horizontal="left" vertical="center"/>
    </xf>
    <xf numFmtId="0" fontId="18" fillId="0" borderId="17" xfId="7" applyBorder="1" applyAlignment="1">
      <alignment horizontal="center" vertical="center"/>
    </xf>
    <xf numFmtId="0" fontId="9" fillId="4" borderId="33" xfId="7" applyFont="1" applyFill="1" applyBorder="1" applyAlignment="1">
      <alignment horizontal="center" vertical="center" wrapText="1"/>
    </xf>
    <xf numFmtId="0" fontId="9" fillId="4" borderId="22" xfId="7" applyFont="1" applyFill="1" applyBorder="1" applyAlignment="1">
      <alignment horizontal="center" vertical="center" wrapText="1"/>
    </xf>
    <xf numFmtId="0" fontId="9" fillId="4" borderId="34" xfId="7" applyFont="1" applyFill="1" applyBorder="1" applyAlignment="1">
      <alignment horizontal="center" vertical="center" wrapText="1"/>
    </xf>
    <xf numFmtId="0" fontId="8" fillId="0" borderId="33" xfId="7" applyFont="1" applyBorder="1" applyAlignment="1">
      <alignment horizontal="center" vertical="center" wrapText="1"/>
    </xf>
    <xf numFmtId="0" fontId="8" fillId="0" borderId="22" xfId="7" applyFont="1" applyBorder="1" applyAlignment="1">
      <alignment horizontal="left" vertical="center" wrapText="1"/>
    </xf>
    <xf numFmtId="10" fontId="32" fillId="0" borderId="34" xfId="7" applyNumberFormat="1" applyFont="1" applyBorder="1" applyAlignment="1">
      <alignment horizontal="center" vertical="center" shrinkToFit="1"/>
    </xf>
    <xf numFmtId="0" fontId="18" fillId="0" borderId="18" xfId="7" applyBorder="1" applyAlignment="1">
      <alignment horizontal="left" vertical="center"/>
    </xf>
    <xf numFmtId="0" fontId="18" fillId="0" borderId="20" xfId="7" applyBorder="1" applyAlignment="1">
      <alignment horizontal="center" vertical="center"/>
    </xf>
    <xf numFmtId="10" fontId="33" fillId="13" borderId="40" xfId="7" applyNumberFormat="1" applyFont="1" applyFill="1" applyBorder="1" applyAlignment="1">
      <alignment horizontal="center" vertical="center" shrinkToFit="1"/>
    </xf>
    <xf numFmtId="10" fontId="18" fillId="0" borderId="0" xfId="7" applyNumberFormat="1" applyAlignment="1">
      <alignment horizontal="left" vertical="center"/>
    </xf>
    <xf numFmtId="0" fontId="18" fillId="0" borderId="0" xfId="7" quotePrefix="1" applyAlignment="1">
      <alignment horizontal="left" vertical="center"/>
    </xf>
    <xf numFmtId="0" fontId="24" fillId="0" borderId="0" xfId="7" applyFont="1" applyAlignment="1">
      <alignment horizontal="left" vertical="center"/>
    </xf>
    <xf numFmtId="10" fontId="29" fillId="11" borderId="1" xfId="1" applyNumberFormat="1" applyFont="1" applyFill="1" applyBorder="1" applyAlignment="1">
      <alignment horizontal="center" vertical="top" wrapText="1" readingOrder="1"/>
    </xf>
    <xf numFmtId="0" fontId="16" fillId="0" borderId="1" xfId="0" applyFont="1" applyBorder="1" applyAlignment="1">
      <alignment horizontal="center"/>
    </xf>
    <xf numFmtId="0" fontId="12" fillId="0" borderId="1" xfId="3" applyFont="1" applyBorder="1" applyAlignment="1">
      <alignment horizontal="center" vertical="top" wrapText="1" readingOrder="1"/>
    </xf>
    <xf numFmtId="44" fontId="12" fillId="0" borderId="1" xfId="3" applyNumberFormat="1" applyFont="1" applyBorder="1" applyAlignment="1">
      <alignment vertical="top" wrapText="1" readingOrder="1"/>
    </xf>
    <xf numFmtId="44" fontId="8" fillId="0" borderId="1" xfId="3" applyNumberFormat="1" applyFont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10" fontId="15" fillId="4" borderId="1" xfId="1" applyNumberFormat="1" applyFont="1" applyFill="1" applyBorder="1" applyAlignment="1">
      <alignment horizontal="center" vertical="top" wrapText="1" readingOrder="1"/>
    </xf>
    <xf numFmtId="10" fontId="21" fillId="4" borderId="1" xfId="1" applyNumberFormat="1" applyFont="1" applyFill="1" applyBorder="1" applyAlignment="1">
      <alignment horizontal="center" vertical="top" wrapText="1" readingOrder="1"/>
    </xf>
    <xf numFmtId="0" fontId="16" fillId="0" borderId="9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/>
    </xf>
    <xf numFmtId="0" fontId="18" fillId="0" borderId="0" xfId="4" applyAlignment="1">
      <alignment horizontal="left" vertical="top"/>
    </xf>
    <xf numFmtId="0" fontId="11" fillId="0" borderId="0" xfId="4" applyFont="1" applyAlignment="1">
      <alignment horizontal="center" vertical="center"/>
    </xf>
    <xf numFmtId="0" fontId="12" fillId="0" borderId="0" xfId="4" applyFont="1" applyAlignment="1">
      <alignment horizontal="left" vertical="top"/>
    </xf>
    <xf numFmtId="0" fontId="12" fillId="0" borderId="0" xfId="4" applyFont="1" applyAlignment="1">
      <alignment horizontal="center" vertical="top"/>
    </xf>
    <xf numFmtId="0" fontId="13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vertical="top" wrapText="1"/>
    </xf>
    <xf numFmtId="44" fontId="15" fillId="2" borderId="1" xfId="1" applyNumberFormat="1" applyFont="1" applyFill="1" applyBorder="1" applyAlignment="1">
      <alignment horizontal="center" vertical="center" wrapText="1"/>
    </xf>
    <xf numFmtId="0" fontId="15" fillId="4" borderId="1" xfId="1" applyFont="1" applyFill="1" applyBorder="1" applyAlignment="1">
      <alignment horizontal="center" vertical="top" wrapText="1"/>
    </xf>
    <xf numFmtId="44" fontId="15" fillId="4" borderId="1" xfId="2" applyFont="1" applyFill="1" applyBorder="1" applyAlignment="1">
      <alignment vertical="top" wrapText="1"/>
    </xf>
    <xf numFmtId="44" fontId="15" fillId="4" borderId="1" xfId="1" applyNumberFormat="1" applyFont="1" applyFill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top" wrapText="1"/>
    </xf>
    <xf numFmtId="44" fontId="15" fillId="0" borderId="1" xfId="2" applyFont="1" applyFill="1" applyBorder="1" applyAlignment="1">
      <alignment vertical="top" wrapText="1"/>
    </xf>
    <xf numFmtId="44" fontId="15" fillId="0" borderId="1" xfId="1" applyNumberFormat="1" applyFont="1" applyBorder="1" applyAlignment="1">
      <alignment vertical="top" wrapText="1"/>
    </xf>
    <xf numFmtId="44" fontId="15" fillId="2" borderId="1" xfId="2" applyFont="1" applyFill="1" applyBorder="1" applyAlignment="1">
      <alignment vertical="top" wrapText="1"/>
    </xf>
    <xf numFmtId="44" fontId="15" fillId="4" borderId="1" xfId="1" applyNumberFormat="1" applyFont="1" applyFill="1" applyBorder="1" applyAlignment="1">
      <alignment vertical="top" wrapText="1"/>
    </xf>
    <xf numFmtId="0" fontId="15" fillId="0" borderId="6" xfId="1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3" fillId="4" borderId="6" xfId="1" applyFont="1" applyFill="1" applyBorder="1" applyAlignment="1">
      <alignment horizontal="center" vertical="top" wrapText="1"/>
    </xf>
    <xf numFmtId="0" fontId="13" fillId="4" borderId="1" xfId="1" applyFont="1" applyFill="1" applyBorder="1" applyAlignment="1">
      <alignment horizontal="center" vertical="top" wrapText="1"/>
    </xf>
    <xf numFmtId="44" fontId="13" fillId="4" borderId="1" xfId="2" applyFont="1" applyFill="1" applyBorder="1" applyAlignment="1">
      <alignment vertical="top" wrapText="1"/>
    </xf>
    <xf numFmtId="0" fontId="15" fillId="4" borderId="1" xfId="0" applyFont="1" applyFill="1" applyBorder="1" applyAlignment="1">
      <alignment vertical="top" wrapText="1"/>
    </xf>
    <xf numFmtId="44" fontId="13" fillId="2" borderId="1" xfId="1" applyNumberFormat="1" applyFont="1" applyFill="1" applyBorder="1" applyAlignment="1">
      <alignment horizontal="center"/>
    </xf>
    <xf numFmtId="2" fontId="16" fillId="0" borderId="1" xfId="0" applyNumberFormat="1" applyFont="1" applyBorder="1" applyAlignment="1">
      <alignment horizontal="center"/>
    </xf>
    <xf numFmtId="0" fontId="18" fillId="0" borderId="47" xfId="4" applyBorder="1" applyAlignment="1">
      <alignment horizontal="left" vertical="center" wrapText="1"/>
    </xf>
    <xf numFmtId="0" fontId="37" fillId="0" borderId="0" xfId="4" applyFont="1" applyAlignment="1">
      <alignment horizontal="left" vertical="top" wrapText="1"/>
    </xf>
    <xf numFmtId="0" fontId="37" fillId="0" borderId="0" xfId="4" applyFont="1" applyAlignment="1">
      <alignment horizontal="left" vertical="top" wrapText="1" indent="4"/>
    </xf>
    <xf numFmtId="1" fontId="38" fillId="0" borderId="0" xfId="4" applyNumberFormat="1" applyFont="1" applyAlignment="1">
      <alignment horizontal="left" vertical="top" indent="7" shrinkToFit="1"/>
    </xf>
    <xf numFmtId="2" fontId="38" fillId="0" borderId="0" xfId="4" applyNumberFormat="1" applyFont="1" applyAlignment="1">
      <alignment horizontal="center" vertical="top" shrinkToFit="1"/>
    </xf>
    <xf numFmtId="0" fontId="18" fillId="0" borderId="0" xfId="4" applyAlignment="1">
      <alignment horizontal="left" wrapText="1"/>
    </xf>
    <xf numFmtId="0" fontId="43" fillId="0" borderId="0" xfId="4" applyFont="1" applyAlignment="1">
      <alignment horizontal="left" wrapText="1"/>
    </xf>
    <xf numFmtId="0" fontId="18" fillId="0" borderId="0" xfId="4" applyAlignment="1">
      <alignment horizontal="left" vertical="top" wrapText="1"/>
    </xf>
    <xf numFmtId="0" fontId="18" fillId="0" borderId="0" xfId="4" applyAlignment="1">
      <alignment horizontal="left" vertical="top" wrapText="1" indent="2"/>
    </xf>
    <xf numFmtId="0" fontId="43" fillId="0" borderId="0" xfId="4" applyFont="1" applyAlignment="1">
      <alignment horizontal="left" vertical="top" wrapText="1" indent="1"/>
    </xf>
    <xf numFmtId="0" fontId="37" fillId="0" borderId="0" xfId="4" applyFont="1" applyAlignment="1">
      <alignment horizontal="left" vertical="top" wrapText="1" indent="6"/>
    </xf>
    <xf numFmtId="1" fontId="38" fillId="0" borderId="0" xfId="4" applyNumberFormat="1" applyFont="1" applyAlignment="1">
      <alignment horizontal="left" vertical="top" indent="8" shrinkToFit="1"/>
    </xf>
    <xf numFmtId="0" fontId="39" fillId="0" borderId="0" xfId="4" applyFont="1" applyAlignment="1">
      <alignment horizontal="right" vertical="top" wrapText="1" indent="1"/>
    </xf>
    <xf numFmtId="2" fontId="38" fillId="0" borderId="0" xfId="4" applyNumberFormat="1" applyFont="1" applyAlignment="1">
      <alignment horizontal="left" vertical="top" indent="2" shrinkToFit="1"/>
    </xf>
    <xf numFmtId="1" fontId="38" fillId="0" borderId="45" xfId="4" applyNumberFormat="1" applyFont="1" applyBorder="1" applyAlignment="1">
      <alignment horizontal="left" vertical="top" indent="8" shrinkToFit="1"/>
    </xf>
    <xf numFmtId="0" fontId="39" fillId="0" borderId="45" xfId="4" applyFont="1" applyBorder="1" applyAlignment="1">
      <alignment horizontal="right" vertical="top" wrapText="1" indent="1"/>
    </xf>
    <xf numFmtId="2" fontId="38" fillId="0" borderId="45" xfId="4" applyNumberFormat="1" applyFont="1" applyBorder="1" applyAlignment="1">
      <alignment horizontal="left" vertical="top" indent="2" shrinkToFit="1"/>
    </xf>
    <xf numFmtId="0" fontId="18" fillId="0" borderId="0" xfId="4" applyAlignment="1">
      <alignment horizontal="left" vertical="center" wrapText="1"/>
    </xf>
    <xf numFmtId="0" fontId="10" fillId="15" borderId="0" xfId="4" applyFont="1" applyFill="1" applyAlignment="1">
      <alignment horizontal="center" vertical="top" wrapText="1"/>
    </xf>
    <xf numFmtId="2" fontId="7" fillId="15" borderId="0" xfId="4" applyNumberFormat="1" applyFont="1" applyFill="1" applyAlignment="1">
      <alignment vertical="top" shrinkToFit="1"/>
    </xf>
    <xf numFmtId="4" fontId="7" fillId="15" borderId="0" xfId="4" applyNumberFormat="1" applyFont="1" applyFill="1" applyAlignment="1">
      <alignment vertical="top" shrinkToFit="1"/>
    </xf>
    <xf numFmtId="0" fontId="29" fillId="0" borderId="0" xfId="4" applyFont="1" applyAlignment="1">
      <alignment horizontal="center" vertical="top"/>
    </xf>
    <xf numFmtId="0" fontId="10" fillId="0" borderId="0" xfId="4" applyFont="1" applyAlignment="1">
      <alignment horizontal="center" vertical="top" wrapText="1"/>
    </xf>
    <xf numFmtId="2" fontId="29" fillId="0" borderId="0" xfId="4" applyNumberFormat="1" applyFont="1" applyAlignment="1">
      <alignment horizontal="center" vertical="top" shrinkToFit="1"/>
    </xf>
    <xf numFmtId="164" fontId="29" fillId="0" borderId="0" xfId="4" applyNumberFormat="1" applyFont="1" applyAlignment="1">
      <alignment horizontal="center" vertical="top" shrinkToFit="1"/>
    </xf>
    <xf numFmtId="164" fontId="29" fillId="0" borderId="45" xfId="4" applyNumberFormat="1" applyFont="1" applyBorder="1" applyAlignment="1">
      <alignment horizontal="center" vertical="top" shrinkToFit="1"/>
    </xf>
    <xf numFmtId="0" fontId="29" fillId="0" borderId="0" xfId="4" applyFont="1" applyAlignment="1">
      <alignment horizontal="center" wrapText="1"/>
    </xf>
    <xf numFmtId="0" fontId="29" fillId="0" borderId="0" xfId="4" applyFont="1" applyAlignment="1">
      <alignment horizontal="center" vertical="center" wrapText="1"/>
    </xf>
    <xf numFmtId="0" fontId="13" fillId="4" borderId="1" xfId="1" applyFont="1" applyFill="1" applyBorder="1" applyAlignment="1">
      <alignment horizontal="center" vertical="top" wrapText="1" readingOrder="1"/>
    </xf>
    <xf numFmtId="44" fontId="0" fillId="0" borderId="1" xfId="0" applyNumberFormat="1" applyBorder="1" applyAlignment="1">
      <alignment horizontal="center" wrapText="1"/>
    </xf>
    <xf numFmtId="0" fontId="52" fillId="0" borderId="0" xfId="9"/>
    <xf numFmtId="44" fontId="0" fillId="0" borderId="0" xfId="0" applyNumberFormat="1" applyAlignment="1">
      <alignment horizontal="center"/>
    </xf>
    <xf numFmtId="0" fontId="15" fillId="0" borderId="1" xfId="1" applyFont="1" applyBorder="1"/>
    <xf numFmtId="2" fontId="15" fillId="0" borderId="1" xfId="1" applyNumberFormat="1" applyFont="1" applyBorder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 wrapText="1"/>
    </xf>
    <xf numFmtId="0" fontId="0" fillId="0" borderId="41" xfId="0" applyBorder="1"/>
    <xf numFmtId="0" fontId="0" fillId="0" borderId="41" xfId="0" applyBorder="1" applyAlignment="1">
      <alignment horizontal="center"/>
    </xf>
    <xf numFmtId="44" fontId="0" fillId="0" borderId="41" xfId="0" applyNumberFormat="1" applyBorder="1" applyAlignment="1">
      <alignment horizontal="center"/>
    </xf>
    <xf numFmtId="0" fontId="12" fillId="0" borderId="0" xfId="3" applyFont="1" applyAlignment="1">
      <alignment vertical="top" wrapText="1" readingOrder="1"/>
    </xf>
    <xf numFmtId="0" fontId="12" fillId="0" borderId="1" xfId="3" applyFont="1" applyBorder="1" applyAlignment="1">
      <alignment vertical="top" wrapText="1" readingOrder="1"/>
    </xf>
    <xf numFmtId="0" fontId="52" fillId="0" borderId="0" xfId="9" applyBorder="1" applyAlignment="1">
      <alignment vertical="top" wrapText="1" readingOrder="1"/>
    </xf>
    <xf numFmtId="0" fontId="13" fillId="2" borderId="1" xfId="1" applyFont="1" applyFill="1" applyBorder="1" applyAlignment="1">
      <alignment horizontal="center" vertical="top" wrapText="1"/>
    </xf>
    <xf numFmtId="44" fontId="15" fillId="2" borderId="1" xfId="1" applyNumberFormat="1" applyFont="1" applyFill="1" applyBorder="1" applyAlignment="1">
      <alignment vertical="top" wrapText="1"/>
    </xf>
    <xf numFmtId="0" fontId="15" fillId="4" borderId="1" xfId="1" applyFont="1" applyFill="1" applyBorder="1" applyAlignment="1">
      <alignment horizontal="center" vertical="center" wrapText="1"/>
    </xf>
    <xf numFmtId="44" fontId="15" fillId="4" borderId="1" xfId="2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 readingOrder="1"/>
    </xf>
    <xf numFmtId="0" fontId="15" fillId="2" borderId="1" xfId="1" applyFont="1" applyFill="1" applyBorder="1" applyAlignment="1">
      <alignment horizontal="center" vertical="top" wrapText="1" readingOrder="1"/>
    </xf>
    <xf numFmtId="10" fontId="15" fillId="2" borderId="1" xfId="1" applyNumberFormat="1" applyFont="1" applyFill="1" applyBorder="1" applyAlignment="1">
      <alignment horizontal="center" vertical="top" wrapText="1" readingOrder="1"/>
    </xf>
    <xf numFmtId="0" fontId="15" fillId="2" borderId="1" xfId="1" applyFont="1" applyFill="1" applyBorder="1" applyAlignment="1">
      <alignment vertical="top" wrapText="1" readingOrder="1"/>
    </xf>
    <xf numFmtId="0" fontId="15" fillId="4" borderId="1" xfId="1" applyFont="1" applyFill="1" applyBorder="1" applyAlignment="1">
      <alignment horizontal="center" vertical="top" wrapText="1" readingOrder="1"/>
    </xf>
    <xf numFmtId="44" fontId="15" fillId="4" borderId="1" xfId="1" applyNumberFormat="1" applyFont="1" applyFill="1" applyBorder="1" applyAlignment="1">
      <alignment vertical="top" wrapText="1" readingOrder="1"/>
    </xf>
    <xf numFmtId="0" fontId="15" fillId="0" borderId="1" xfId="1" applyFont="1" applyBorder="1" applyAlignment="1">
      <alignment horizontal="center" vertical="top" wrapText="1" readingOrder="1"/>
    </xf>
    <xf numFmtId="10" fontId="15" fillId="0" borderId="1" xfId="1" applyNumberFormat="1" applyFont="1" applyBorder="1" applyAlignment="1">
      <alignment horizontal="center" vertical="top" wrapText="1" readingOrder="1"/>
    </xf>
    <xf numFmtId="44" fontId="15" fillId="0" borderId="1" xfId="1" applyNumberFormat="1" applyFont="1" applyBorder="1" applyAlignment="1">
      <alignment vertical="top" wrapText="1" readingOrder="1"/>
    </xf>
    <xf numFmtId="44" fontId="15" fillId="2" borderId="1" xfId="1" applyNumberFormat="1" applyFont="1" applyFill="1" applyBorder="1" applyAlignment="1">
      <alignment vertical="top" wrapText="1" readingOrder="1"/>
    </xf>
    <xf numFmtId="0" fontId="15" fillId="0" borderId="6" xfId="1" applyFont="1" applyBorder="1" applyAlignment="1">
      <alignment horizontal="center" vertical="top" wrapText="1" readingOrder="1"/>
    </xf>
    <xf numFmtId="10" fontId="21" fillId="0" borderId="1" xfId="1" applyNumberFormat="1" applyFont="1" applyBorder="1" applyAlignment="1">
      <alignment horizontal="center" vertical="top" wrapText="1" readingOrder="1"/>
    </xf>
    <xf numFmtId="0" fontId="15" fillId="0" borderId="6" xfId="3" applyBorder="1" applyAlignment="1">
      <alignment horizontal="center" vertical="top" wrapText="1" readingOrder="1"/>
    </xf>
    <xf numFmtId="0" fontId="15" fillId="0" borderId="1" xfId="3" applyBorder="1" applyAlignment="1">
      <alignment horizontal="center" vertical="top" wrapText="1"/>
    </xf>
    <xf numFmtId="0" fontId="15" fillId="0" borderId="1" xfId="3" applyBorder="1" applyAlignment="1">
      <alignment horizontal="center" vertical="top" wrapText="1" readingOrder="1"/>
    </xf>
    <xf numFmtId="44" fontId="15" fillId="0" borderId="1" xfId="3" applyNumberFormat="1" applyBorder="1" applyAlignment="1">
      <alignment vertical="top" wrapText="1" readingOrder="1"/>
    </xf>
    <xf numFmtId="44" fontId="15" fillId="0" borderId="1" xfId="3" applyNumberFormat="1" applyBorder="1" applyAlignment="1">
      <alignment vertical="top" wrapText="1"/>
    </xf>
    <xf numFmtId="0" fontId="15" fillId="4" borderId="6" xfId="3" applyFill="1" applyBorder="1" applyAlignment="1">
      <alignment horizontal="center" vertical="top" wrapText="1" readingOrder="1"/>
    </xf>
    <xf numFmtId="0" fontId="15" fillId="4" borderId="1" xfId="3" applyFill="1" applyBorder="1" applyAlignment="1">
      <alignment horizontal="center" vertical="top" wrapText="1"/>
    </xf>
    <xf numFmtId="0" fontId="15" fillId="4" borderId="1" xfId="3" applyFill="1" applyBorder="1" applyAlignment="1">
      <alignment horizontal="center" vertical="top" wrapText="1" readingOrder="1"/>
    </xf>
    <xf numFmtId="44" fontId="15" fillId="4" borderId="1" xfId="3" applyNumberFormat="1" applyFill="1" applyBorder="1" applyAlignment="1">
      <alignment vertical="top" wrapText="1" readingOrder="1"/>
    </xf>
    <xf numFmtId="44" fontId="15" fillId="4" borderId="1" xfId="3" applyNumberFormat="1" applyFill="1" applyBorder="1" applyAlignment="1">
      <alignment vertical="top" wrapText="1"/>
    </xf>
    <xf numFmtId="44" fontId="13" fillId="4" borderId="1" xfId="1" applyNumberFormat="1" applyFont="1" applyFill="1" applyBorder="1" applyAlignment="1">
      <alignment vertical="top" wrapText="1" readingOrder="1"/>
    </xf>
    <xf numFmtId="0" fontId="15" fillId="4" borderId="6" xfId="1" applyFont="1" applyFill="1" applyBorder="1" applyAlignment="1">
      <alignment horizontal="center" vertical="top" wrapText="1" readingOrder="1"/>
    </xf>
    <xf numFmtId="0" fontId="15" fillId="4" borderId="6" xfId="3" applyFill="1" applyBorder="1" applyAlignment="1">
      <alignment horizontal="center" vertical="center" wrapText="1" readingOrder="1"/>
    </xf>
    <xf numFmtId="0" fontId="15" fillId="4" borderId="1" xfId="3" applyFill="1" applyBorder="1" applyAlignment="1">
      <alignment horizontal="center" vertical="center" wrapText="1"/>
    </xf>
    <xf numFmtId="0" fontId="15" fillId="4" borderId="1" xfId="3" applyFill="1" applyBorder="1" applyAlignment="1">
      <alignment horizontal="center" vertical="center" wrapText="1" readingOrder="1"/>
    </xf>
    <xf numFmtId="10" fontId="15" fillId="4" borderId="1" xfId="1" applyNumberFormat="1" applyFont="1" applyFill="1" applyBorder="1" applyAlignment="1">
      <alignment horizontal="center" vertical="center" wrapText="1" readingOrder="1"/>
    </xf>
    <xf numFmtId="44" fontId="15" fillId="4" borderId="1" xfId="3" applyNumberFormat="1" applyFill="1" applyBorder="1" applyAlignment="1">
      <alignment horizontal="center" vertical="center" wrapText="1" readingOrder="1"/>
    </xf>
    <xf numFmtId="44" fontId="15" fillId="4" borderId="1" xfId="3" applyNumberFormat="1" applyFill="1" applyBorder="1" applyAlignment="1">
      <alignment horizontal="center" vertical="center" wrapText="1"/>
    </xf>
    <xf numFmtId="1" fontId="15" fillId="0" borderId="1" xfId="1" applyNumberFormat="1" applyFont="1" applyBorder="1" applyAlignment="1">
      <alignment horizontal="center" vertical="top" wrapText="1"/>
    </xf>
    <xf numFmtId="0" fontId="54" fillId="16" borderId="1" xfId="1" applyFont="1" applyFill="1" applyBorder="1" applyAlignment="1">
      <alignment horizontal="center" vertical="top" wrapText="1"/>
    </xf>
    <xf numFmtId="0" fontId="14" fillId="16" borderId="1" xfId="1" applyFont="1" applyFill="1" applyBorder="1" applyAlignment="1">
      <alignment horizontal="center" vertical="top" wrapText="1"/>
    </xf>
    <xf numFmtId="0" fontId="14" fillId="16" borderId="1" xfId="1" applyFont="1" applyFill="1" applyBorder="1" applyAlignment="1">
      <alignment horizontal="center" vertical="top" wrapText="1" readingOrder="1"/>
    </xf>
    <xf numFmtId="10" fontId="14" fillId="16" borderId="1" xfId="1" applyNumberFormat="1" applyFont="1" applyFill="1" applyBorder="1" applyAlignment="1">
      <alignment horizontal="center" vertical="top" wrapText="1" readingOrder="1"/>
    </xf>
    <xf numFmtId="44" fontId="54" fillId="16" borderId="1" xfId="2" applyFont="1" applyFill="1" applyBorder="1" applyAlignment="1">
      <alignment vertical="top" wrapText="1"/>
    </xf>
    <xf numFmtId="44" fontId="14" fillId="16" borderId="1" xfId="1" applyNumberFormat="1" applyFont="1" applyFill="1" applyBorder="1" applyAlignment="1">
      <alignment vertical="top" wrapText="1" readingOrder="1"/>
    </xf>
    <xf numFmtId="44" fontId="14" fillId="16" borderId="1" xfId="2" applyFont="1" applyFill="1" applyBorder="1" applyAlignment="1">
      <alignment vertical="top" wrapText="1"/>
    </xf>
    <xf numFmtId="0" fontId="53" fillId="16" borderId="1" xfId="1" applyFont="1" applyFill="1" applyBorder="1" applyAlignment="1">
      <alignment horizontal="center" vertical="top" wrapText="1"/>
    </xf>
    <xf numFmtId="0" fontId="53" fillId="16" borderId="1" xfId="1" applyFont="1" applyFill="1" applyBorder="1" applyAlignment="1">
      <alignment horizontal="center" vertical="top" wrapText="1" readingOrder="1"/>
    </xf>
    <xf numFmtId="10" fontId="53" fillId="16" borderId="1" xfId="1" applyNumberFormat="1" applyFont="1" applyFill="1" applyBorder="1" applyAlignment="1">
      <alignment horizontal="center" vertical="top" wrapText="1" readingOrder="1"/>
    </xf>
    <xf numFmtId="44" fontId="53" fillId="16" borderId="1" xfId="2" applyFont="1" applyFill="1" applyBorder="1" applyAlignment="1">
      <alignment vertical="top" wrapText="1"/>
    </xf>
    <xf numFmtId="44" fontId="53" fillId="16" borderId="1" xfId="1" applyNumberFormat="1" applyFont="1" applyFill="1" applyBorder="1" applyAlignment="1">
      <alignment vertical="top" wrapText="1" readingOrder="1"/>
    </xf>
    <xf numFmtId="44" fontId="53" fillId="16" borderId="1" xfId="1" applyNumberFormat="1" applyFont="1" applyFill="1" applyBorder="1" applyAlignment="1">
      <alignment vertical="top" wrapText="1"/>
    </xf>
    <xf numFmtId="0" fontId="53" fillId="16" borderId="1" xfId="1" applyFont="1" applyFill="1" applyBorder="1" applyAlignment="1">
      <alignment horizontal="center" vertical="center" wrapText="1"/>
    </xf>
    <xf numFmtId="0" fontId="53" fillId="16" borderId="1" xfId="1" applyFont="1" applyFill="1" applyBorder="1" applyAlignment="1">
      <alignment horizontal="center" vertical="center" wrapText="1" readingOrder="1"/>
    </xf>
    <xf numFmtId="0" fontId="53" fillId="16" borderId="1" xfId="1" applyFont="1" applyFill="1" applyBorder="1" applyAlignment="1">
      <alignment horizontal="center" vertical="center"/>
    </xf>
    <xf numFmtId="0" fontId="53" fillId="2" borderId="1" xfId="1" applyFont="1" applyFill="1" applyBorder="1" applyAlignment="1">
      <alignment horizontal="center" vertical="top" wrapText="1"/>
    </xf>
    <xf numFmtId="0" fontId="53" fillId="2" borderId="1" xfId="1" applyFont="1" applyFill="1" applyBorder="1" applyAlignment="1">
      <alignment horizontal="center" vertical="top" wrapText="1" readingOrder="1"/>
    </xf>
    <xf numFmtId="10" fontId="53" fillId="2" borderId="1" xfId="1" applyNumberFormat="1" applyFont="1" applyFill="1" applyBorder="1" applyAlignment="1">
      <alignment horizontal="center" vertical="top" wrapText="1" readingOrder="1"/>
    </xf>
    <xf numFmtId="44" fontId="53" fillId="2" borderId="1" xfId="2" applyFont="1" applyFill="1" applyBorder="1" applyAlignment="1">
      <alignment vertical="top" wrapText="1"/>
    </xf>
    <xf numFmtId="44" fontId="53" fillId="2" borderId="1" xfId="1" applyNumberFormat="1" applyFont="1" applyFill="1" applyBorder="1" applyAlignment="1">
      <alignment vertical="top" wrapText="1" readingOrder="1"/>
    </xf>
    <xf numFmtId="44" fontId="53" fillId="16" borderId="1" xfId="1" applyNumberFormat="1" applyFont="1" applyFill="1" applyBorder="1" applyAlignment="1">
      <alignment horizontal="center" vertical="center"/>
    </xf>
    <xf numFmtId="44" fontId="53" fillId="16" borderId="1" xfId="1" applyNumberFormat="1" applyFont="1" applyFill="1" applyBorder="1" applyAlignment="1">
      <alignment horizontal="center" vertical="center" wrapText="1"/>
    </xf>
    <xf numFmtId="44" fontId="26" fillId="16" borderId="1" xfId="1" applyNumberFormat="1" applyFont="1" applyFill="1" applyBorder="1" applyAlignment="1">
      <alignment vertical="top" wrapText="1"/>
    </xf>
    <xf numFmtId="2" fontId="16" fillId="5" borderId="1" xfId="0" applyNumberFormat="1" applyFont="1" applyFill="1" applyBorder="1" applyAlignment="1">
      <alignment horizontal="center"/>
    </xf>
    <xf numFmtId="0" fontId="15" fillId="0" borderId="1" xfId="1" applyFont="1" applyBorder="1" applyAlignment="1">
      <alignment horizontal="center" vertical="center" wrapText="1"/>
    </xf>
    <xf numFmtId="0" fontId="0" fillId="19" borderId="1" xfId="0" applyFill="1" applyBorder="1"/>
    <xf numFmtId="0" fontId="56" fillId="20" borderId="22" xfId="0" applyFont="1" applyFill="1" applyBorder="1" applyAlignment="1">
      <alignment horizontal="center" vertical="center" wrapText="1"/>
    </xf>
    <xf numFmtId="0" fontId="57" fillId="0" borderId="22" xfId="0" applyFont="1" applyBorder="1" applyAlignment="1">
      <alignment horizontal="center" vertical="center"/>
    </xf>
    <xf numFmtId="0" fontId="57" fillId="0" borderId="22" xfId="0" applyFont="1" applyBorder="1" applyAlignment="1">
      <alignment horizontal="left" vertical="center" wrapText="1"/>
    </xf>
    <xf numFmtId="0" fontId="58" fillId="0" borderId="22" xfId="0" applyFont="1" applyBorder="1" applyAlignment="1">
      <alignment horizontal="left" vertical="center" wrapText="1"/>
    </xf>
    <xf numFmtId="0" fontId="13" fillId="2" borderId="1" xfId="1" applyFont="1" applyFill="1" applyBorder="1" applyAlignment="1">
      <alignment horizontal="center" vertical="top" wrapText="1" readingOrder="1"/>
    </xf>
    <xf numFmtId="0" fontId="8" fillId="0" borderId="1" xfId="0" applyFont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13" fillId="9" borderId="1" xfId="0" applyFont="1" applyFill="1" applyBorder="1" applyAlignment="1">
      <alignment horizontal="center" vertical="top" wrapText="1" readingOrder="1"/>
    </xf>
    <xf numFmtId="49" fontId="15" fillId="0" borderId="1" xfId="1" applyNumberFormat="1" applyFont="1" applyBorder="1" applyAlignment="1">
      <alignment horizontal="center" vertical="top" wrapText="1" readingOrder="1"/>
    </xf>
    <xf numFmtId="44" fontId="15" fillId="0" borderId="5" xfId="1" applyNumberFormat="1" applyFont="1" applyBorder="1" applyAlignment="1">
      <alignment horizontal="center" vertical="top" wrapText="1" readingOrder="1"/>
    </xf>
    <xf numFmtId="44" fontId="15" fillId="0" borderId="6" xfId="1" applyNumberFormat="1" applyFont="1" applyBorder="1" applyAlignment="1">
      <alignment horizontal="center" vertical="top" wrapText="1" readingOrder="1"/>
    </xf>
    <xf numFmtId="0" fontId="15" fillId="0" borderId="1" xfId="0" applyFont="1" applyBorder="1" applyAlignment="1">
      <alignment horizontal="center" vertical="top" wrapText="1" readingOrder="1"/>
    </xf>
    <xf numFmtId="0" fontId="15" fillId="0" borderId="1" xfId="0" applyFont="1" applyBorder="1" applyAlignment="1">
      <alignment horizontal="center" vertical="top" wrapText="1"/>
    </xf>
    <xf numFmtId="44" fontId="15" fillId="4" borderId="5" xfId="1" applyNumberFormat="1" applyFont="1" applyFill="1" applyBorder="1" applyAlignment="1">
      <alignment horizontal="center" vertical="top" wrapText="1" readingOrder="1"/>
    </xf>
    <xf numFmtId="44" fontId="15" fillId="4" borderId="6" xfId="1" applyNumberFormat="1" applyFont="1" applyFill="1" applyBorder="1" applyAlignment="1">
      <alignment horizontal="center" vertical="top" wrapText="1" readingOrder="1"/>
    </xf>
    <xf numFmtId="0" fontId="13" fillId="4" borderId="1" xfId="1" applyFont="1" applyFill="1" applyBorder="1" applyAlignment="1">
      <alignment horizontal="center" vertical="top" wrapText="1" readingOrder="1"/>
    </xf>
    <xf numFmtId="0" fontId="13" fillId="8" borderId="1" xfId="0" applyFont="1" applyFill="1" applyBorder="1" applyAlignment="1">
      <alignment horizontal="center" vertical="top" wrapText="1" readingOrder="1"/>
    </xf>
    <xf numFmtId="0" fontId="15" fillId="4" borderId="1" xfId="0" applyFont="1" applyFill="1" applyBorder="1" applyAlignment="1">
      <alignment horizontal="center" vertical="top" wrapText="1"/>
    </xf>
    <xf numFmtId="0" fontId="15" fillId="6" borderId="1" xfId="0" applyFont="1" applyFill="1" applyBorder="1" applyAlignment="1">
      <alignment horizontal="center" vertical="top" wrapText="1" readingOrder="1"/>
    </xf>
    <xf numFmtId="0" fontId="13" fillId="2" borderId="1" xfId="1" applyFont="1" applyFill="1" applyBorder="1" applyAlignment="1">
      <alignment horizontal="center"/>
    </xf>
    <xf numFmtId="0" fontId="13" fillId="0" borderId="1" xfId="1" applyFont="1" applyBorder="1" applyAlignment="1">
      <alignment horizontal="center"/>
    </xf>
    <xf numFmtId="44" fontId="15" fillId="0" borderId="5" xfId="3" applyNumberFormat="1" applyBorder="1" applyAlignment="1">
      <alignment horizontal="center" vertical="top" wrapText="1" readingOrder="1"/>
    </xf>
    <xf numFmtId="44" fontId="15" fillId="0" borderId="6" xfId="3" applyNumberFormat="1" applyBorder="1" applyAlignment="1">
      <alignment horizontal="center" vertical="top" wrapText="1" readingOrder="1"/>
    </xf>
    <xf numFmtId="0" fontId="13" fillId="4" borderId="1" xfId="3" applyFont="1" applyFill="1" applyBorder="1" applyAlignment="1">
      <alignment horizontal="center" vertical="center" wrapText="1" readingOrder="1"/>
    </xf>
    <xf numFmtId="44" fontId="15" fillId="4" borderId="1" xfId="3" applyNumberFormat="1" applyFill="1" applyBorder="1" applyAlignment="1">
      <alignment horizontal="center" vertical="top" wrapText="1" readingOrder="1"/>
    </xf>
    <xf numFmtId="44" fontId="15" fillId="0" borderId="5" xfId="1" applyNumberFormat="1" applyFont="1" applyBorder="1" applyAlignment="1">
      <alignment horizontal="left" vertical="top" wrapText="1" readingOrder="1"/>
    </xf>
    <xf numFmtId="44" fontId="15" fillId="0" borderId="6" xfId="1" applyNumberFormat="1" applyFont="1" applyBorder="1" applyAlignment="1">
      <alignment horizontal="left" vertical="top" wrapText="1" readingOrder="1"/>
    </xf>
    <xf numFmtId="0" fontId="15" fillId="0" borderId="1" xfId="0" applyFont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center" vertical="center" wrapText="1"/>
    </xf>
    <xf numFmtId="44" fontId="15" fillId="0" borderId="1" xfId="3" applyNumberFormat="1" applyBorder="1" applyAlignment="1">
      <alignment horizontal="center" vertical="top" wrapText="1" readingOrder="1"/>
    </xf>
    <xf numFmtId="44" fontId="13" fillId="4" borderId="5" xfId="1" applyNumberFormat="1" applyFont="1" applyFill="1" applyBorder="1" applyAlignment="1">
      <alignment horizontal="center" vertical="top" wrapText="1" readingOrder="1"/>
    </xf>
    <xf numFmtId="44" fontId="13" fillId="4" borderId="6" xfId="1" applyNumberFormat="1" applyFont="1" applyFill="1" applyBorder="1" applyAlignment="1">
      <alignment horizontal="center" vertical="top" wrapText="1" readingOrder="1"/>
    </xf>
    <xf numFmtId="0" fontId="15" fillId="0" borderId="1" xfId="1" applyFont="1" applyBorder="1" applyAlignment="1">
      <alignment horizontal="center" vertical="top" wrapText="1" readingOrder="1"/>
    </xf>
    <xf numFmtId="0" fontId="15" fillId="0" borderId="1" xfId="1" applyFont="1" applyBorder="1" applyAlignment="1">
      <alignment horizontal="center" vertical="top" wrapText="1"/>
    </xf>
    <xf numFmtId="44" fontId="15" fillId="0" borderId="1" xfId="1" applyNumberFormat="1" applyFont="1" applyBorder="1" applyAlignment="1">
      <alignment horizontal="center" vertical="top" wrapText="1" readingOrder="1"/>
    </xf>
    <xf numFmtId="44" fontId="15" fillId="0" borderId="1" xfId="1" applyNumberFormat="1" applyFont="1" applyBorder="1" applyAlignment="1">
      <alignment horizontal="center" vertical="top" wrapText="1"/>
    </xf>
    <xf numFmtId="0" fontId="15" fillId="4" borderId="1" xfId="1" applyFont="1" applyFill="1" applyBorder="1" applyAlignment="1">
      <alignment horizontal="center" vertical="top" wrapText="1"/>
    </xf>
    <xf numFmtId="44" fontId="15" fillId="4" borderId="1" xfId="1" applyNumberFormat="1" applyFont="1" applyFill="1" applyBorder="1" applyAlignment="1">
      <alignment horizontal="center" vertical="top" wrapText="1" readingOrder="1"/>
    </xf>
    <xf numFmtId="44" fontId="15" fillId="4" borderId="1" xfId="1" applyNumberFormat="1" applyFont="1" applyFill="1" applyBorder="1" applyAlignment="1">
      <alignment horizontal="center" vertical="top" wrapText="1"/>
    </xf>
    <xf numFmtId="0" fontId="8" fillId="4" borderId="1" xfId="1" applyFont="1" applyFill="1" applyBorder="1" applyAlignment="1">
      <alignment horizontal="center" vertical="top" wrapText="1"/>
    </xf>
    <xf numFmtId="44" fontId="8" fillId="4" borderId="1" xfId="1" applyNumberFormat="1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 readingOrder="1"/>
    </xf>
    <xf numFmtId="0" fontId="8" fillId="2" borderId="1" xfId="0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horizontal="center" vertical="top" wrapText="1" readingOrder="1"/>
    </xf>
    <xf numFmtId="0" fontId="8" fillId="2" borderId="1" xfId="1" applyFont="1" applyFill="1" applyBorder="1" applyAlignment="1">
      <alignment horizontal="center" vertical="top" wrapText="1"/>
    </xf>
    <xf numFmtId="44" fontId="15" fillId="2" borderId="1" xfId="1" applyNumberFormat="1" applyFont="1" applyFill="1" applyBorder="1" applyAlignment="1">
      <alignment horizontal="center" vertical="top" wrapText="1" readingOrder="1"/>
    </xf>
    <xf numFmtId="44" fontId="8" fillId="2" borderId="1" xfId="1" applyNumberFormat="1" applyFont="1" applyFill="1" applyBorder="1" applyAlignment="1">
      <alignment horizontal="center" vertical="top" wrapText="1"/>
    </xf>
    <xf numFmtId="3" fontId="13" fillId="4" borderId="1" xfId="1" applyNumberFormat="1" applyFont="1" applyFill="1" applyBorder="1" applyAlignment="1">
      <alignment horizontal="center" vertical="top" wrapText="1" readingOrder="1"/>
    </xf>
    <xf numFmtId="0" fontId="53" fillId="16" borderId="5" xfId="1" applyFont="1" applyFill="1" applyBorder="1" applyAlignment="1">
      <alignment horizontal="center" vertical="top" wrapText="1" readingOrder="1"/>
    </xf>
    <xf numFmtId="0" fontId="53" fillId="16" borderId="7" xfId="1" applyFont="1" applyFill="1" applyBorder="1" applyAlignment="1">
      <alignment horizontal="center" vertical="top" wrapText="1" readingOrder="1"/>
    </xf>
    <xf numFmtId="0" fontId="53" fillId="16" borderId="6" xfId="1" applyFont="1" applyFill="1" applyBorder="1" applyAlignment="1">
      <alignment horizontal="center" vertical="top" wrapText="1" readingOrder="1"/>
    </xf>
    <xf numFmtId="44" fontId="53" fillId="16" borderId="5" xfId="1" applyNumberFormat="1" applyFont="1" applyFill="1" applyBorder="1" applyAlignment="1">
      <alignment horizontal="center" vertical="top" wrapText="1" readingOrder="1"/>
    </xf>
    <xf numFmtId="44" fontId="53" fillId="16" borderId="6" xfId="1" applyNumberFormat="1" applyFont="1" applyFill="1" applyBorder="1" applyAlignment="1">
      <alignment horizontal="center" vertical="top" wrapText="1" readingOrder="1"/>
    </xf>
    <xf numFmtId="3" fontId="15" fillId="0" borderId="5" xfId="1" applyNumberFormat="1" applyFont="1" applyBorder="1" applyAlignment="1">
      <alignment horizontal="center" vertical="top" wrapText="1" readingOrder="1"/>
    </xf>
    <xf numFmtId="3" fontId="15" fillId="0" borderId="7" xfId="1" applyNumberFormat="1" applyFont="1" applyBorder="1" applyAlignment="1">
      <alignment horizontal="center" vertical="top" wrapText="1" readingOrder="1"/>
    </xf>
    <xf numFmtId="3" fontId="15" fillId="0" borderId="6" xfId="1" applyNumberFormat="1" applyFont="1" applyBorder="1" applyAlignment="1">
      <alignment horizontal="center" vertical="top" wrapText="1" readingOrder="1"/>
    </xf>
    <xf numFmtId="44" fontId="14" fillId="16" borderId="5" xfId="1" applyNumberFormat="1" applyFont="1" applyFill="1" applyBorder="1" applyAlignment="1">
      <alignment horizontal="center" vertical="top" wrapText="1" readingOrder="1"/>
    </xf>
    <xf numFmtId="44" fontId="14" fillId="16" borderId="6" xfId="1" applyNumberFormat="1" applyFont="1" applyFill="1" applyBorder="1" applyAlignment="1">
      <alignment horizontal="center" vertical="top" wrapText="1" readingOrder="1"/>
    </xf>
    <xf numFmtId="0" fontId="15" fillId="0" borderId="5" xfId="1" applyFont="1" applyBorder="1" applyAlignment="1">
      <alignment horizontal="center" vertical="top" wrapText="1" readingOrder="1"/>
    </xf>
    <xf numFmtId="0" fontId="15" fillId="0" borderId="7" xfId="1" applyFont="1" applyBorder="1" applyAlignment="1">
      <alignment horizontal="center" vertical="top" wrapText="1" readingOrder="1"/>
    </xf>
    <xf numFmtId="0" fontId="15" fillId="0" borderId="6" xfId="1" applyFont="1" applyBorder="1" applyAlignment="1">
      <alignment horizontal="center" vertical="top" wrapText="1" readingOrder="1"/>
    </xf>
    <xf numFmtId="0" fontId="13" fillId="4" borderId="5" xfId="1" applyFont="1" applyFill="1" applyBorder="1" applyAlignment="1">
      <alignment horizontal="center" vertical="top" wrapText="1" readingOrder="1"/>
    </xf>
    <xf numFmtId="0" fontId="13" fillId="4" borderId="7" xfId="1" applyFont="1" applyFill="1" applyBorder="1" applyAlignment="1">
      <alignment horizontal="center" vertical="top" wrapText="1" readingOrder="1"/>
    </xf>
    <xf numFmtId="0" fontId="13" fillId="4" borderId="6" xfId="1" applyFont="1" applyFill="1" applyBorder="1" applyAlignment="1">
      <alignment horizontal="center" vertical="top" wrapText="1" readingOrder="1"/>
    </xf>
    <xf numFmtId="0" fontId="15" fillId="2" borderId="1" xfId="1" applyFont="1" applyFill="1" applyBorder="1" applyAlignment="1">
      <alignment horizontal="center" vertical="top" wrapText="1"/>
    </xf>
    <xf numFmtId="44" fontId="53" fillId="2" borderId="5" xfId="1" applyNumberFormat="1" applyFont="1" applyFill="1" applyBorder="1" applyAlignment="1">
      <alignment horizontal="center" vertical="top" wrapText="1" readingOrder="1"/>
    </xf>
    <xf numFmtId="44" fontId="53" fillId="2" borderId="6" xfId="1" applyNumberFormat="1" applyFont="1" applyFill="1" applyBorder="1" applyAlignment="1">
      <alignment horizontal="center" vertical="top" wrapText="1" readingOrder="1"/>
    </xf>
    <xf numFmtId="44" fontId="15" fillId="4" borderId="5" xfId="3" applyNumberFormat="1" applyFill="1" applyBorder="1" applyAlignment="1">
      <alignment horizontal="center" vertical="top" wrapText="1" readingOrder="1"/>
    </xf>
    <xf numFmtId="44" fontId="15" fillId="4" borderId="6" xfId="3" applyNumberFormat="1" applyFill="1" applyBorder="1" applyAlignment="1">
      <alignment horizontal="center" vertical="top" wrapText="1" readingOrder="1"/>
    </xf>
    <xf numFmtId="44" fontId="15" fillId="2" borderId="5" xfId="1" applyNumberFormat="1" applyFont="1" applyFill="1" applyBorder="1" applyAlignment="1">
      <alignment horizontal="center" vertical="top" wrapText="1" readingOrder="1"/>
    </xf>
    <xf numFmtId="44" fontId="15" fillId="2" borderId="6" xfId="1" applyNumberFormat="1" applyFont="1" applyFill="1" applyBorder="1" applyAlignment="1">
      <alignment horizontal="center" vertical="top" wrapText="1" readingOrder="1"/>
    </xf>
    <xf numFmtId="44" fontId="15" fillId="2" borderId="1" xfId="1" applyNumberFormat="1" applyFont="1" applyFill="1" applyBorder="1" applyAlignment="1">
      <alignment horizontal="center" vertical="top" wrapText="1"/>
    </xf>
    <xf numFmtId="0" fontId="8" fillId="0" borderId="1" xfId="1" applyFont="1" applyBorder="1" applyAlignment="1">
      <alignment horizontal="center" vertical="top" wrapText="1"/>
    </xf>
    <xf numFmtId="44" fontId="8" fillId="0" borderId="1" xfId="1" applyNumberFormat="1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 readingOrder="1"/>
    </xf>
    <xf numFmtId="0" fontId="8" fillId="0" borderId="1" xfId="0" applyFont="1" applyBorder="1" applyAlignment="1">
      <alignment horizontal="center" vertical="top" wrapText="1"/>
    </xf>
    <xf numFmtId="0" fontId="14" fillId="16" borderId="5" xfId="1" applyFont="1" applyFill="1" applyBorder="1" applyAlignment="1">
      <alignment horizontal="center" vertical="top" wrapText="1" readingOrder="1"/>
    </xf>
    <xf numFmtId="0" fontId="14" fillId="16" borderId="7" xfId="1" applyFont="1" applyFill="1" applyBorder="1" applyAlignment="1">
      <alignment horizontal="center" vertical="top" wrapText="1" readingOrder="1"/>
    </xf>
    <xf numFmtId="0" fontId="14" fillId="16" borderId="6" xfId="1" applyFont="1" applyFill="1" applyBorder="1" applyAlignment="1">
      <alignment horizontal="center" vertical="top" wrapText="1" readingOrder="1"/>
    </xf>
    <xf numFmtId="0" fontId="53" fillId="16" borderId="5" xfId="1" applyFont="1" applyFill="1" applyBorder="1" applyAlignment="1">
      <alignment horizontal="center" vertical="center" wrapText="1" readingOrder="1"/>
    </xf>
    <xf numFmtId="0" fontId="53" fillId="16" borderId="6" xfId="1" applyFont="1" applyFill="1" applyBorder="1" applyAlignment="1">
      <alignment horizontal="center" vertical="center" wrapText="1" readingOrder="1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14" fontId="6" fillId="0" borderId="5" xfId="1" applyNumberFormat="1" applyFont="1" applyBorder="1" applyAlignment="1">
      <alignment horizontal="center" vertical="center"/>
    </xf>
    <xf numFmtId="14" fontId="6" fillId="0" borderId="7" xfId="1" applyNumberFormat="1" applyFont="1" applyBorder="1" applyAlignment="1">
      <alignment horizontal="center" vertical="center"/>
    </xf>
    <xf numFmtId="14" fontId="6" fillId="0" borderId="6" xfId="1" applyNumberFormat="1" applyFont="1" applyBorder="1" applyAlignment="1">
      <alignment horizontal="center" vertical="center"/>
    </xf>
    <xf numFmtId="0" fontId="53" fillId="16" borderId="7" xfId="1" applyFont="1" applyFill="1" applyBorder="1" applyAlignment="1">
      <alignment horizontal="center" vertical="center" wrapText="1" readingOrder="1"/>
    </xf>
    <xf numFmtId="0" fontId="13" fillId="2" borderId="1" xfId="1" applyFont="1" applyFill="1" applyBorder="1" applyAlignment="1">
      <alignment horizontal="center" vertical="center" wrapText="1" readingOrder="1"/>
    </xf>
    <xf numFmtId="0" fontId="15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top" wrapText="1" readingOrder="1"/>
    </xf>
    <xf numFmtId="44" fontId="14" fillId="16" borderId="1" xfId="1" applyNumberFormat="1" applyFont="1" applyFill="1" applyBorder="1" applyAlignment="1">
      <alignment horizontal="center" vertical="top" wrapText="1" readingOrder="1"/>
    </xf>
    <xf numFmtId="44" fontId="14" fillId="16" borderId="1" xfId="1" applyNumberFormat="1" applyFont="1" applyFill="1" applyBorder="1" applyAlignment="1">
      <alignment horizontal="center" vertical="top" wrapText="1"/>
    </xf>
    <xf numFmtId="0" fontId="53" fillId="16" borderId="1" xfId="1" applyFont="1" applyFill="1" applyBorder="1" applyAlignment="1">
      <alignment horizontal="center" vertical="top" wrapText="1" readingOrder="1"/>
    </xf>
    <xf numFmtId="0" fontId="14" fillId="16" borderId="1" xfId="1" applyFont="1" applyFill="1" applyBorder="1" applyAlignment="1">
      <alignment horizontal="center" vertical="top" wrapText="1"/>
    </xf>
    <xf numFmtId="0" fontId="13" fillId="8" borderId="1" xfId="0" applyFont="1" applyFill="1" applyBorder="1" applyAlignment="1">
      <alignment horizontal="center" vertical="center" wrapText="1" readingOrder="1"/>
    </xf>
    <xf numFmtId="0" fontId="15" fillId="4" borderId="1" xfId="0" applyFont="1" applyFill="1" applyBorder="1" applyAlignment="1">
      <alignment horizontal="center" vertical="center" wrapText="1"/>
    </xf>
    <xf numFmtId="0" fontId="13" fillId="4" borderId="5" xfId="3" applyFont="1" applyFill="1" applyBorder="1" applyAlignment="1">
      <alignment horizontal="center" vertical="center" wrapText="1" readingOrder="1"/>
    </xf>
    <xf numFmtId="0" fontId="13" fillId="4" borderId="6" xfId="3" applyFont="1" applyFill="1" applyBorder="1" applyAlignment="1">
      <alignment horizontal="center" vertical="center" wrapText="1" readingOrder="1"/>
    </xf>
    <xf numFmtId="44" fontId="15" fillId="4" borderId="5" xfId="3" applyNumberFormat="1" applyFill="1" applyBorder="1" applyAlignment="1">
      <alignment horizontal="center" vertical="center" wrapText="1" readingOrder="1"/>
    </xf>
    <xf numFmtId="44" fontId="15" fillId="4" borderId="6" xfId="3" applyNumberFormat="1" applyFill="1" applyBorder="1" applyAlignment="1">
      <alignment horizontal="center" vertical="center" wrapText="1" readingOrder="1"/>
    </xf>
    <xf numFmtId="0" fontId="13" fillId="4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/>
    </xf>
    <xf numFmtId="0" fontId="9" fillId="14" borderId="31" xfId="7" applyFont="1" applyFill="1" applyBorder="1" applyAlignment="1">
      <alignment horizontal="center" vertical="center" wrapText="1"/>
    </xf>
    <xf numFmtId="0" fontId="9" fillId="14" borderId="21" xfId="7" applyFont="1" applyFill="1" applyBorder="1" applyAlignment="1">
      <alignment horizontal="center" vertical="center" wrapText="1"/>
    </xf>
    <xf numFmtId="0" fontId="9" fillId="14" borderId="32" xfId="7" applyFont="1" applyFill="1" applyBorder="1" applyAlignment="1">
      <alignment horizontal="center" vertical="center" wrapText="1"/>
    </xf>
    <xf numFmtId="0" fontId="31" fillId="0" borderId="19" xfId="6" applyFont="1" applyBorder="1" applyAlignment="1">
      <alignment horizontal="center" vertical="center" wrapText="1"/>
    </xf>
    <xf numFmtId="0" fontId="26" fillId="13" borderId="13" xfId="7" applyFont="1" applyFill="1" applyBorder="1" applyAlignment="1">
      <alignment horizontal="center" vertical="center" wrapText="1"/>
    </xf>
    <xf numFmtId="0" fontId="26" fillId="13" borderId="14" xfId="7" applyFont="1" applyFill="1" applyBorder="1" applyAlignment="1">
      <alignment horizontal="center" vertical="center" wrapText="1"/>
    </xf>
    <xf numFmtId="0" fontId="26" fillId="13" borderId="15" xfId="7" applyFont="1" applyFill="1" applyBorder="1" applyAlignment="1">
      <alignment horizontal="center" vertical="center" wrapText="1"/>
    </xf>
    <xf numFmtId="0" fontId="8" fillId="0" borderId="25" xfId="7" applyFont="1" applyBorder="1" applyAlignment="1">
      <alignment horizontal="left" vertical="center" wrapText="1"/>
    </xf>
    <xf numFmtId="0" fontId="32" fillId="0" borderId="26" xfId="7" applyFont="1" applyBorder="1" applyAlignment="1">
      <alignment horizontal="left" vertical="center" wrapText="1"/>
    </xf>
    <xf numFmtId="0" fontId="32" fillId="0" borderId="27" xfId="7" applyFont="1" applyBorder="1" applyAlignment="1">
      <alignment horizontal="left" vertical="center" wrapText="1"/>
    </xf>
    <xf numFmtId="0" fontId="26" fillId="13" borderId="28" xfId="7" applyFont="1" applyFill="1" applyBorder="1" applyAlignment="1">
      <alignment horizontal="center" vertical="center" wrapText="1"/>
    </xf>
    <xf numFmtId="0" fontId="26" fillId="13" borderId="29" xfId="7" applyFont="1" applyFill="1" applyBorder="1" applyAlignment="1">
      <alignment horizontal="center" vertical="center" wrapText="1"/>
    </xf>
    <xf numFmtId="0" fontId="26" fillId="13" borderId="30" xfId="7" applyFont="1" applyFill="1" applyBorder="1" applyAlignment="1">
      <alignment horizontal="center" vertical="center" wrapText="1"/>
    </xf>
    <xf numFmtId="0" fontId="9" fillId="13" borderId="38" xfId="7" applyFont="1" applyFill="1" applyBorder="1" applyAlignment="1">
      <alignment horizontal="left" vertical="center" wrapText="1"/>
    </xf>
    <xf numFmtId="0" fontId="9" fillId="13" borderId="39" xfId="7" applyFont="1" applyFill="1" applyBorder="1" applyAlignment="1">
      <alignment horizontal="left" vertical="center" wrapText="1"/>
    </xf>
    <xf numFmtId="0" fontId="24" fillId="0" borderId="14" xfId="7" applyFont="1" applyBorder="1" applyAlignment="1">
      <alignment horizontal="left" vertical="center" wrapText="1"/>
    </xf>
    <xf numFmtId="49" fontId="23" fillId="4" borderId="5" xfId="7" applyNumberFormat="1" applyFont="1" applyFill="1" applyBorder="1" applyAlignment="1">
      <alignment horizontal="left" vertical="center" wrapText="1"/>
    </xf>
    <xf numFmtId="49" fontId="23" fillId="4" borderId="7" xfId="7" applyNumberFormat="1" applyFont="1" applyFill="1" applyBorder="1" applyAlignment="1">
      <alignment horizontal="left" vertical="center"/>
    </xf>
    <xf numFmtId="49" fontId="23" fillId="4" borderId="6" xfId="7" applyNumberFormat="1" applyFont="1" applyFill="1" applyBorder="1" applyAlignment="1">
      <alignment horizontal="left" vertical="center"/>
    </xf>
    <xf numFmtId="0" fontId="8" fillId="0" borderId="35" xfId="7" applyFont="1" applyBorder="1" applyAlignment="1">
      <alignment horizontal="center" vertical="center" wrapText="1"/>
    </xf>
    <xf numFmtId="0" fontId="8" fillId="0" borderId="36" xfId="7" applyFont="1" applyBorder="1" applyAlignment="1">
      <alignment horizontal="center" vertical="center" wrapText="1"/>
    </xf>
    <xf numFmtId="0" fontId="8" fillId="0" borderId="37" xfId="7" applyFont="1" applyBorder="1" applyAlignment="1">
      <alignment horizontal="center" vertical="center" wrapText="1"/>
    </xf>
    <xf numFmtId="0" fontId="32" fillId="0" borderId="14" xfId="7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55" fillId="0" borderId="22" xfId="0" applyFont="1" applyBorder="1" applyAlignment="1">
      <alignment horizontal="center" vertical="center"/>
    </xf>
    <xf numFmtId="0" fontId="0" fillId="0" borderId="22" xfId="0" applyBorder="1"/>
    <xf numFmtId="0" fontId="39" fillId="5" borderId="0" xfId="4" applyFont="1" applyFill="1" applyAlignment="1">
      <alignment horizontal="left" vertical="top" wrapText="1"/>
    </xf>
    <xf numFmtId="2" fontId="38" fillId="0" borderId="0" xfId="4" applyNumberFormat="1" applyFont="1" applyAlignment="1">
      <alignment horizontal="left" vertical="top" indent="4" shrinkToFit="1"/>
    </xf>
    <xf numFmtId="0" fontId="39" fillId="0" borderId="0" xfId="4" applyFont="1" applyAlignment="1">
      <alignment horizontal="left" vertical="top" wrapText="1"/>
    </xf>
    <xf numFmtId="0" fontId="18" fillId="0" borderId="47" xfId="4" applyBorder="1" applyAlignment="1">
      <alignment horizontal="left" vertical="top" wrapText="1"/>
    </xf>
    <xf numFmtId="0" fontId="18" fillId="0" borderId="47" xfId="4" applyBorder="1" applyAlignment="1">
      <alignment horizontal="left" vertical="top" wrapText="1" indent="1"/>
    </xf>
    <xf numFmtId="0" fontId="37" fillId="0" borderId="0" xfId="4" applyFont="1" applyAlignment="1">
      <alignment horizontal="left" vertical="top" wrapText="1"/>
    </xf>
    <xf numFmtId="4" fontId="38" fillId="0" borderId="0" xfId="4" applyNumberFormat="1" applyFont="1" applyAlignment="1">
      <alignment horizontal="left" vertical="top" indent="3" shrinkToFit="1"/>
    </xf>
    <xf numFmtId="0" fontId="41" fillId="0" borderId="0" xfId="4" applyFont="1" applyAlignment="1">
      <alignment horizontal="center" vertical="top" wrapText="1"/>
    </xf>
    <xf numFmtId="0" fontId="18" fillId="0" borderId="0" xfId="4" applyAlignment="1">
      <alignment horizontal="left" wrapText="1"/>
    </xf>
    <xf numFmtId="0" fontId="37" fillId="0" borderId="0" xfId="4" applyFont="1" applyAlignment="1">
      <alignment horizontal="left" wrapText="1" indent="3"/>
    </xf>
    <xf numFmtId="0" fontId="18" fillId="0" borderId="0" xfId="4" applyAlignment="1">
      <alignment horizontal="left" wrapText="1" indent="1"/>
    </xf>
    <xf numFmtId="0" fontId="18" fillId="0" borderId="0" xfId="4" applyAlignment="1">
      <alignment horizontal="left" vertical="top" wrapText="1" indent="7"/>
    </xf>
    <xf numFmtId="0" fontId="18" fillId="0" borderId="0" xfId="4" applyAlignment="1">
      <alignment horizontal="left" vertical="top" wrapText="1" indent="6"/>
    </xf>
    <xf numFmtId="0" fontId="18" fillId="0" borderId="0" xfId="4" applyAlignment="1">
      <alignment horizontal="left" vertical="top" wrapText="1" indent="17"/>
    </xf>
    <xf numFmtId="0" fontId="18" fillId="0" borderId="0" xfId="4" applyAlignment="1">
      <alignment horizontal="left" vertical="top" wrapText="1" indent="2"/>
    </xf>
    <xf numFmtId="0" fontId="18" fillId="0" borderId="0" xfId="4" applyAlignment="1">
      <alignment horizontal="left" vertical="top" wrapText="1" indent="8"/>
    </xf>
    <xf numFmtId="0" fontId="18" fillId="0" borderId="0" xfId="4" applyAlignment="1">
      <alignment horizontal="left" vertical="top" wrapText="1" indent="3"/>
    </xf>
    <xf numFmtId="0" fontId="18" fillId="0" borderId="0" xfId="4" applyAlignment="1">
      <alignment horizontal="left" vertical="top" wrapText="1"/>
    </xf>
    <xf numFmtId="0" fontId="45" fillId="0" borderId="0" xfId="4" applyFont="1" applyAlignment="1">
      <alignment horizontal="left" vertical="top" wrapText="1" indent="1"/>
    </xf>
    <xf numFmtId="0" fontId="41" fillId="0" borderId="0" xfId="4" applyFont="1" applyAlignment="1">
      <alignment horizontal="left" vertical="top" wrapText="1" indent="1"/>
    </xf>
    <xf numFmtId="2" fontId="38" fillId="0" borderId="0" xfId="4" applyNumberFormat="1" applyFont="1" applyAlignment="1">
      <alignment horizontal="right" vertical="top" shrinkToFit="1"/>
    </xf>
    <xf numFmtId="0" fontId="39" fillId="0" borderId="45" xfId="4" applyFont="1" applyBorder="1" applyAlignment="1">
      <alignment horizontal="left" vertical="top" wrapText="1"/>
    </xf>
    <xf numFmtId="2" fontId="38" fillId="0" borderId="45" xfId="4" applyNumberFormat="1" applyFont="1" applyBorder="1" applyAlignment="1">
      <alignment horizontal="left" vertical="top" indent="4" shrinkToFit="1"/>
    </xf>
    <xf numFmtId="4" fontId="48" fillId="0" borderId="0" xfId="4" applyNumberFormat="1" applyFont="1" applyAlignment="1">
      <alignment horizontal="left" vertical="top" shrinkToFit="1"/>
    </xf>
    <xf numFmtId="0" fontId="18" fillId="0" borderId="0" xfId="4" applyAlignment="1">
      <alignment horizontal="left" vertical="center" wrapText="1"/>
    </xf>
    <xf numFmtId="0" fontId="18" fillId="0" borderId="0" xfId="4" applyAlignment="1">
      <alignment horizontal="left" vertical="top" wrapText="1" indent="1"/>
    </xf>
    <xf numFmtId="0" fontId="51" fillId="0" borderId="0" xfId="4" applyFont="1" applyAlignment="1">
      <alignment horizontal="left" vertical="center" wrapText="1" indent="2"/>
    </xf>
    <xf numFmtId="0" fontId="18" fillId="0" borderId="48" xfId="4" applyBorder="1" applyAlignment="1">
      <alignment horizontal="left" vertical="top" wrapText="1"/>
    </xf>
    <xf numFmtId="0" fontId="18" fillId="0" borderId="49" xfId="4" applyBorder="1" applyAlignment="1">
      <alignment horizontal="left" vertical="top" wrapText="1"/>
    </xf>
    <xf numFmtId="0" fontId="18" fillId="0" borderId="45" xfId="4" applyBorder="1" applyAlignment="1">
      <alignment horizontal="left" vertical="top" wrapText="1"/>
    </xf>
    <xf numFmtId="0" fontId="18" fillId="0" borderId="46" xfId="4" applyBorder="1" applyAlignment="1">
      <alignment horizontal="left" vertical="top" wrapText="1"/>
    </xf>
    <xf numFmtId="0" fontId="18" fillId="0" borderId="0" xfId="4" applyAlignment="1">
      <alignment horizontal="right" vertical="top" wrapText="1"/>
    </xf>
    <xf numFmtId="0" fontId="18" fillId="0" borderId="44" xfId="4" applyBorder="1" applyAlignment="1">
      <alignment horizontal="left" vertical="top" wrapText="1"/>
    </xf>
    <xf numFmtId="0" fontId="35" fillId="0" borderId="44" xfId="4" applyFont="1" applyBorder="1" applyAlignment="1">
      <alignment horizontal="left" vertical="center" wrapText="1" indent="3"/>
    </xf>
    <xf numFmtId="0" fontId="35" fillId="0" borderId="45" xfId="4" applyFont="1" applyBorder="1" applyAlignment="1">
      <alignment horizontal="left" vertical="center" wrapText="1" indent="3"/>
    </xf>
    <xf numFmtId="0" fontId="35" fillId="0" borderId="46" xfId="4" applyFont="1" applyBorder="1" applyAlignment="1">
      <alignment horizontal="left" vertical="center" wrapText="1" indent="3"/>
    </xf>
    <xf numFmtId="0" fontId="35" fillId="0" borderId="44" xfId="4" applyFont="1" applyBorder="1" applyAlignment="1">
      <alignment horizontal="center" vertical="top" wrapText="1"/>
    </xf>
    <xf numFmtId="0" fontId="35" fillId="0" borderId="45" xfId="4" applyFont="1" applyBorder="1" applyAlignment="1">
      <alignment horizontal="center" vertical="top" wrapText="1"/>
    </xf>
    <xf numFmtId="0" fontId="35" fillId="0" borderId="46" xfId="4" applyFont="1" applyBorder="1" applyAlignment="1">
      <alignment horizontal="center" vertical="top" wrapText="1"/>
    </xf>
    <xf numFmtId="166" fontId="36" fillId="0" borderId="42" xfId="4" applyNumberFormat="1" applyFont="1" applyBorder="1" applyAlignment="1">
      <alignment horizontal="center" vertical="top" shrinkToFit="1"/>
    </xf>
    <xf numFmtId="166" fontId="36" fillId="0" borderId="21" xfId="4" applyNumberFormat="1" applyFont="1" applyBorder="1" applyAlignment="1">
      <alignment horizontal="center" vertical="top" shrinkToFit="1"/>
    </xf>
    <xf numFmtId="166" fontId="36" fillId="0" borderId="43" xfId="4" applyNumberFormat="1" applyFont="1" applyBorder="1" applyAlignment="1">
      <alignment horizontal="center" vertical="top" shrinkToFit="1"/>
    </xf>
    <xf numFmtId="0" fontId="15" fillId="0" borderId="42" xfId="4" applyFont="1" applyBorder="1" applyAlignment="1">
      <alignment horizontal="left" vertical="top" wrapText="1"/>
    </xf>
    <xf numFmtId="0" fontId="15" fillId="0" borderId="21" xfId="4" applyFont="1" applyBorder="1" applyAlignment="1">
      <alignment horizontal="left" vertical="top" wrapText="1"/>
    </xf>
    <xf numFmtId="0" fontId="15" fillId="0" borderId="43" xfId="4" applyFont="1" applyBorder="1" applyAlignment="1">
      <alignment horizontal="left" vertical="top" wrapText="1"/>
    </xf>
    <xf numFmtId="0" fontId="15" fillId="0" borderId="42" xfId="4" applyFont="1" applyBorder="1" applyAlignment="1">
      <alignment horizontal="center" vertical="top" wrapText="1"/>
    </xf>
    <xf numFmtId="0" fontId="15" fillId="0" borderId="21" xfId="4" applyFont="1" applyBorder="1" applyAlignment="1">
      <alignment horizontal="center" vertical="top" wrapText="1"/>
    </xf>
    <xf numFmtId="0" fontId="15" fillId="0" borderId="43" xfId="4" applyFont="1" applyBorder="1" applyAlignment="1">
      <alignment horizontal="center" vertical="top" wrapText="1"/>
    </xf>
    <xf numFmtId="1" fontId="12" fillId="0" borderId="42" xfId="4" applyNumberFormat="1" applyFont="1" applyBorder="1" applyAlignment="1">
      <alignment horizontal="center" vertical="top" shrinkToFit="1"/>
    </xf>
    <xf numFmtId="1" fontId="12" fillId="0" borderId="21" xfId="4" applyNumberFormat="1" applyFont="1" applyBorder="1" applyAlignment="1">
      <alignment horizontal="center" vertical="top" shrinkToFit="1"/>
    </xf>
    <xf numFmtId="1" fontId="12" fillId="0" borderId="43" xfId="4" applyNumberFormat="1" applyFont="1" applyBorder="1" applyAlignment="1">
      <alignment horizontal="center" vertical="top" shrinkToFit="1"/>
    </xf>
    <xf numFmtId="0" fontId="12" fillId="0" borderId="21" xfId="4" applyFont="1" applyBorder="1" applyAlignment="1">
      <alignment horizontal="left" vertical="top" wrapText="1"/>
    </xf>
    <xf numFmtId="0" fontId="12" fillId="0" borderId="43" xfId="4" applyFont="1" applyBorder="1" applyAlignment="1">
      <alignment horizontal="left" vertical="top" wrapText="1"/>
    </xf>
    <xf numFmtId="168" fontId="12" fillId="0" borderId="42" xfId="4" applyNumberFormat="1" applyFont="1" applyBorder="1" applyAlignment="1">
      <alignment horizontal="center" vertical="top" shrinkToFit="1"/>
    </xf>
    <xf numFmtId="168" fontId="12" fillId="0" borderId="21" xfId="4" applyNumberFormat="1" applyFont="1" applyBorder="1" applyAlignment="1">
      <alignment horizontal="center" vertical="top" shrinkToFit="1"/>
    </xf>
    <xf numFmtId="168" fontId="12" fillId="0" borderId="43" xfId="4" applyNumberFormat="1" applyFont="1" applyBorder="1" applyAlignment="1">
      <alignment horizontal="center" vertical="top" shrinkToFit="1"/>
    </xf>
    <xf numFmtId="0" fontId="12" fillId="0" borderId="42" xfId="4" applyFont="1" applyBorder="1" applyAlignment="1">
      <alignment horizontal="left" vertical="top" wrapText="1"/>
    </xf>
    <xf numFmtId="0" fontId="13" fillId="0" borderId="42" xfId="4" applyFont="1" applyBorder="1" applyAlignment="1">
      <alignment horizontal="center" vertical="top" wrapText="1"/>
    </xf>
    <xf numFmtId="0" fontId="13" fillId="0" borderId="21" xfId="4" applyFont="1" applyBorder="1" applyAlignment="1">
      <alignment horizontal="center" vertical="top" wrapText="1"/>
    </xf>
    <xf numFmtId="0" fontId="13" fillId="0" borderId="43" xfId="4" applyFont="1" applyBorder="1" applyAlignment="1">
      <alignment horizontal="center" vertical="top" wrapText="1"/>
    </xf>
    <xf numFmtId="167" fontId="11" fillId="0" borderId="42" xfId="4" applyNumberFormat="1" applyFont="1" applyBorder="1" applyAlignment="1">
      <alignment horizontal="center" vertical="top" shrinkToFit="1"/>
    </xf>
    <xf numFmtId="167" fontId="11" fillId="0" borderId="21" xfId="4" applyNumberFormat="1" applyFont="1" applyBorder="1" applyAlignment="1">
      <alignment horizontal="center" vertical="top" shrinkToFit="1"/>
    </xf>
    <xf numFmtId="167" fontId="11" fillId="0" borderId="43" xfId="4" applyNumberFormat="1" applyFont="1" applyBorder="1" applyAlignment="1">
      <alignment horizontal="center" vertical="top" shrinkToFit="1"/>
    </xf>
    <xf numFmtId="0" fontId="12" fillId="0" borderId="42" xfId="4" applyFont="1" applyBorder="1" applyAlignment="1">
      <alignment horizontal="left" wrapText="1"/>
    </xf>
    <xf numFmtId="0" fontId="12" fillId="0" borderId="21" xfId="4" applyFont="1" applyBorder="1" applyAlignment="1">
      <alignment horizontal="left" wrapText="1"/>
    </xf>
    <xf numFmtId="0" fontId="12" fillId="0" borderId="43" xfId="4" applyFont="1" applyBorder="1" applyAlignment="1">
      <alignment horizontal="left" wrapText="1"/>
    </xf>
    <xf numFmtId="44" fontId="29" fillId="0" borderId="1" xfId="1" applyNumberFormat="1" applyFont="1" applyBorder="1" applyAlignment="1">
      <alignment horizontal="center" vertical="top" wrapText="1" readingOrder="1"/>
    </xf>
    <xf numFmtId="0" fontId="29" fillId="0" borderId="1" xfId="1" applyFont="1" applyBorder="1" applyAlignment="1">
      <alignment horizontal="left" vertical="top" wrapText="1" readingOrder="1"/>
    </xf>
    <xf numFmtId="44" fontId="29" fillId="4" borderId="1" xfId="1" applyNumberFormat="1" applyFont="1" applyFill="1" applyBorder="1" applyAlignment="1">
      <alignment horizontal="center" vertical="top" wrapText="1" readingOrder="1"/>
    </xf>
    <xf numFmtId="44" fontId="21" fillId="0" borderId="1" xfId="1" applyNumberFormat="1" applyFont="1" applyBorder="1" applyAlignment="1">
      <alignment horizontal="center" vertical="top" wrapText="1"/>
    </xf>
    <xf numFmtId="44" fontId="29" fillId="0" borderId="1" xfId="0" applyNumberFormat="1" applyFont="1" applyBorder="1" applyAlignment="1">
      <alignment horizontal="right" vertical="top" wrapText="1" readingOrder="1"/>
    </xf>
    <xf numFmtId="44" fontId="21" fillId="0" borderId="1" xfId="0" applyNumberFormat="1" applyFont="1" applyBorder="1" applyAlignment="1">
      <alignment vertical="top" wrapText="1"/>
    </xf>
    <xf numFmtId="44" fontId="21" fillId="4" borderId="1" xfId="1" applyNumberFormat="1" applyFont="1" applyFill="1" applyBorder="1" applyAlignment="1">
      <alignment horizontal="center" vertical="top" wrapText="1"/>
    </xf>
    <xf numFmtId="44" fontId="29" fillId="2" borderId="1" xfId="1" applyNumberFormat="1" applyFont="1" applyFill="1" applyBorder="1" applyAlignment="1">
      <alignment horizontal="center" vertical="top" wrapText="1" readingOrder="1"/>
    </xf>
    <xf numFmtId="44" fontId="21" fillId="2" borderId="1" xfId="1" applyNumberFormat="1" applyFont="1" applyFill="1" applyBorder="1" applyAlignment="1">
      <alignment horizontal="center" vertical="top" wrapText="1"/>
    </xf>
    <xf numFmtId="44" fontId="7" fillId="2" borderId="1" xfId="1" applyNumberFormat="1" applyFont="1" applyFill="1" applyBorder="1" applyAlignment="1">
      <alignment horizontal="center" vertical="top" wrapText="1" readingOrder="1"/>
    </xf>
    <xf numFmtId="44" fontId="28" fillId="11" borderId="1" xfId="1" applyNumberFormat="1" applyFont="1" applyFill="1" applyBorder="1" applyAlignment="1">
      <alignment horizontal="center" vertical="top" wrapText="1" readingOrder="1"/>
    </xf>
    <xf numFmtId="49" fontId="29" fillId="0" borderId="1" xfId="1" applyNumberFormat="1" applyFont="1" applyBorder="1" applyAlignment="1">
      <alignment horizontal="center" vertical="top" wrapText="1" readingOrder="1"/>
    </xf>
    <xf numFmtId="44" fontId="7" fillId="4" borderId="1" xfId="1" applyNumberFormat="1" applyFont="1" applyFill="1" applyBorder="1" applyAlignment="1">
      <alignment horizontal="center" vertical="top" wrapText="1" readingOrder="1"/>
    </xf>
    <xf numFmtId="0" fontId="7" fillId="8" borderId="1" xfId="0" applyFont="1" applyFill="1" applyBorder="1" applyAlignment="1">
      <alignment horizontal="center" vertical="top" wrapText="1" readingOrder="1"/>
    </xf>
    <xf numFmtId="0" fontId="10" fillId="4" borderId="1" xfId="0" applyFont="1" applyFill="1" applyBorder="1" applyAlignment="1">
      <alignment horizontal="center" vertical="top" wrapText="1"/>
    </xf>
    <xf numFmtId="0" fontId="7" fillId="4" borderId="1" xfId="1" applyFont="1" applyFill="1" applyBorder="1" applyAlignment="1">
      <alignment horizontal="center" vertical="top" wrapText="1" readingOrder="1"/>
    </xf>
    <xf numFmtId="0" fontId="21" fillId="0" borderId="1" xfId="1" applyFont="1" applyBorder="1" applyAlignment="1">
      <alignment horizontal="left" vertical="top" wrapText="1"/>
    </xf>
    <xf numFmtId="0" fontId="28" fillId="11" borderId="1" xfId="1" applyFont="1" applyFill="1" applyBorder="1" applyAlignment="1">
      <alignment horizontal="center" vertical="top" wrapText="1" readingOrder="1"/>
    </xf>
    <xf numFmtId="0" fontId="29" fillId="0" borderId="5" xfId="1" applyFont="1" applyBorder="1" applyAlignment="1">
      <alignment horizontal="left" vertical="top" wrapText="1" readingOrder="1"/>
    </xf>
    <xf numFmtId="0" fontId="29" fillId="0" borderId="6" xfId="1" applyFont="1" applyBorder="1" applyAlignment="1">
      <alignment horizontal="left" vertical="top" wrapText="1" readingOrder="1"/>
    </xf>
    <xf numFmtId="44" fontId="29" fillId="0" borderId="5" xfId="1" applyNumberFormat="1" applyFont="1" applyBorder="1" applyAlignment="1">
      <alignment horizontal="center" vertical="top" wrapText="1" readingOrder="1"/>
    </xf>
    <xf numFmtId="44" fontId="29" fillId="0" borderId="6" xfId="1" applyNumberFormat="1" applyFont="1" applyBorder="1" applyAlignment="1">
      <alignment horizontal="center" vertical="top" wrapText="1" readingOrder="1"/>
    </xf>
    <xf numFmtId="0" fontId="21" fillId="4" borderId="1" xfId="1" applyFont="1" applyFill="1" applyBorder="1" applyAlignment="1">
      <alignment horizontal="center" vertical="top" wrapText="1"/>
    </xf>
    <xf numFmtId="0" fontId="29" fillId="0" borderId="1" xfId="0" applyFont="1" applyBorder="1" applyAlignment="1">
      <alignment horizontal="center" vertical="top" wrapText="1" readingOrder="1"/>
    </xf>
    <xf numFmtId="0" fontId="21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left" vertical="top" wrapText="1" readingOrder="1"/>
    </xf>
    <xf numFmtId="0" fontId="7" fillId="9" borderId="1" xfId="0" applyFont="1" applyFill="1" applyBorder="1" applyAlignment="1">
      <alignment horizontal="center" vertical="top" wrapText="1" readingOrder="1"/>
    </xf>
    <xf numFmtId="0" fontId="29" fillId="6" borderId="1" xfId="0" applyFont="1" applyFill="1" applyBorder="1" applyAlignment="1">
      <alignment horizontal="center" vertical="top" wrapText="1" readingOrder="1"/>
    </xf>
    <xf numFmtId="0" fontId="29" fillId="8" borderId="1" xfId="0" applyFont="1" applyFill="1" applyBorder="1" applyAlignment="1">
      <alignment horizontal="right" vertical="top" wrapText="1" readingOrder="1"/>
    </xf>
    <xf numFmtId="0" fontId="21" fillId="4" borderId="1" xfId="0" applyFont="1" applyFill="1" applyBorder="1" applyAlignment="1">
      <alignment vertical="top" wrapText="1"/>
    </xf>
    <xf numFmtId="0" fontId="21" fillId="4" borderId="1" xfId="0" applyFont="1" applyFill="1" applyBorder="1" applyAlignment="1">
      <alignment horizontal="center" vertical="top" wrapText="1"/>
    </xf>
    <xf numFmtId="165" fontId="29" fillId="0" borderId="1" xfId="0" applyNumberFormat="1" applyFont="1" applyBorder="1" applyAlignment="1">
      <alignment horizontal="right" vertical="top" wrapText="1" readingOrder="1"/>
    </xf>
    <xf numFmtId="0" fontId="21" fillId="0" borderId="1" xfId="0" applyFont="1" applyBorder="1" applyAlignment="1">
      <alignment vertical="top" wrapText="1"/>
    </xf>
    <xf numFmtId="0" fontId="7" fillId="7" borderId="1" xfId="0" applyFont="1" applyFill="1" applyBorder="1" applyAlignment="1">
      <alignment horizontal="center" vertical="top" wrapText="1" readingOrder="1"/>
    </xf>
    <xf numFmtId="44" fontId="7" fillId="4" borderId="5" xfId="1" applyNumberFormat="1" applyFont="1" applyFill="1" applyBorder="1" applyAlignment="1">
      <alignment horizontal="center" vertical="top" wrapText="1" readingOrder="1"/>
    </xf>
    <xf numFmtId="44" fontId="7" fillId="4" borderId="6" xfId="1" applyNumberFormat="1" applyFont="1" applyFill="1" applyBorder="1" applyAlignment="1">
      <alignment horizontal="center" vertical="top" wrapText="1" readingOrder="1"/>
    </xf>
    <xf numFmtId="0" fontId="29" fillId="6" borderId="5" xfId="0" applyFont="1" applyFill="1" applyBorder="1" applyAlignment="1">
      <alignment horizontal="center" vertical="top" wrapText="1" readingOrder="1"/>
    </xf>
    <xf numFmtId="0" fontId="29" fillId="6" borderId="7" xfId="0" applyFont="1" applyFill="1" applyBorder="1" applyAlignment="1">
      <alignment horizontal="center" vertical="top" wrapText="1" readingOrder="1"/>
    </xf>
    <xf numFmtId="0" fontId="29" fillId="6" borderId="6" xfId="0" applyFont="1" applyFill="1" applyBorder="1" applyAlignment="1">
      <alignment horizontal="center" vertical="top" wrapText="1" readingOrder="1"/>
    </xf>
    <xf numFmtId="3" fontId="29" fillId="6" borderId="5" xfId="0" applyNumberFormat="1" applyFont="1" applyFill="1" applyBorder="1" applyAlignment="1">
      <alignment horizontal="center" vertical="top" wrapText="1" readingOrder="1"/>
    </xf>
    <xf numFmtId="0" fontId="29" fillId="0" borderId="1" xfId="1" applyFont="1" applyBorder="1" applyAlignment="1">
      <alignment horizontal="center" vertical="top" wrapText="1" readingOrder="1"/>
    </xf>
    <xf numFmtId="0" fontId="21" fillId="0" borderId="1" xfId="1" applyFont="1" applyBorder="1" applyAlignment="1">
      <alignment horizontal="center" vertical="top" wrapText="1"/>
    </xf>
    <xf numFmtId="44" fontId="29" fillId="4" borderId="5" xfId="1" applyNumberFormat="1" applyFont="1" applyFill="1" applyBorder="1" applyAlignment="1">
      <alignment horizontal="center" vertical="top" wrapText="1" readingOrder="1"/>
    </xf>
    <xf numFmtId="44" fontId="29" fillId="4" borderId="6" xfId="1" applyNumberFormat="1" applyFont="1" applyFill="1" applyBorder="1" applyAlignment="1">
      <alignment horizontal="center" vertical="top" wrapText="1" readingOrder="1"/>
    </xf>
    <xf numFmtId="0" fontId="7" fillId="2" borderId="1" xfId="1" applyFont="1" applyFill="1" applyBorder="1" applyAlignment="1">
      <alignment horizontal="center" vertical="top" wrapText="1" readingOrder="1"/>
    </xf>
    <xf numFmtId="0" fontId="7" fillId="10" borderId="1" xfId="0" applyFont="1" applyFill="1" applyBorder="1" applyAlignment="1">
      <alignment horizontal="center" vertical="top" wrapText="1" readingOrder="1"/>
    </xf>
    <xf numFmtId="0" fontId="10" fillId="2" borderId="1" xfId="0" applyFont="1" applyFill="1" applyBorder="1" applyAlignment="1">
      <alignment horizontal="center" vertical="top" wrapText="1"/>
    </xf>
    <xf numFmtId="0" fontId="11" fillId="8" borderId="23" xfId="0" applyFont="1" applyFill="1" applyBorder="1" applyAlignment="1">
      <alignment horizontal="center" vertical="top" wrapText="1" readingOrder="1"/>
    </xf>
    <xf numFmtId="0" fontId="11" fillId="8" borderId="7" xfId="0" applyFont="1" applyFill="1" applyBorder="1" applyAlignment="1">
      <alignment horizontal="center" vertical="top" wrapText="1" readingOrder="1"/>
    </xf>
    <xf numFmtId="0" fontId="11" fillId="8" borderId="24" xfId="0" applyFont="1" applyFill="1" applyBorder="1" applyAlignment="1">
      <alignment horizontal="center" vertical="top" wrapText="1" readingOrder="1"/>
    </xf>
    <xf numFmtId="3" fontId="7" fillId="9" borderId="5" xfId="0" applyNumberFormat="1" applyFont="1" applyFill="1" applyBorder="1" applyAlignment="1">
      <alignment horizontal="center" vertical="top" wrapText="1" readingOrder="1"/>
    </xf>
    <xf numFmtId="0" fontId="7" fillId="9" borderId="7" xfId="0" applyFont="1" applyFill="1" applyBorder="1" applyAlignment="1">
      <alignment horizontal="center" vertical="top" wrapText="1" readingOrder="1"/>
    </xf>
    <xf numFmtId="0" fontId="7" fillId="9" borderId="6" xfId="0" applyFont="1" applyFill="1" applyBorder="1" applyAlignment="1">
      <alignment horizontal="center" vertical="top" wrapText="1" readingOrder="1"/>
    </xf>
    <xf numFmtId="0" fontId="7" fillId="4" borderId="5" xfId="1" applyFont="1" applyFill="1" applyBorder="1" applyAlignment="1">
      <alignment horizontal="center" vertical="top" wrapText="1" readingOrder="1"/>
    </xf>
    <xf numFmtId="0" fontId="7" fillId="4" borderId="6" xfId="1" applyFont="1" applyFill="1" applyBorder="1" applyAlignment="1">
      <alignment horizontal="center" vertical="top" wrapText="1" readingOrder="1"/>
    </xf>
    <xf numFmtId="0" fontId="27" fillId="11" borderId="1" xfId="1" applyFont="1" applyFill="1" applyBorder="1" applyAlignment="1">
      <alignment horizontal="center" vertical="top" wrapText="1"/>
    </xf>
    <xf numFmtId="0" fontId="27" fillId="11" borderId="1" xfId="1" applyFont="1" applyFill="1" applyBorder="1" applyAlignment="1">
      <alignment horizontal="center" vertical="top" wrapText="1" readingOrder="1"/>
    </xf>
    <xf numFmtId="0" fontId="21" fillId="2" borderId="1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 wrapText="1" readingOrder="1"/>
    </xf>
    <xf numFmtId="0" fontId="21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top" wrapText="1" readingOrder="1"/>
    </xf>
    <xf numFmtId="0" fontId="21" fillId="2" borderId="1" xfId="1" applyFont="1" applyFill="1" applyBorder="1" applyAlignment="1">
      <alignment horizontal="center" vertical="top" wrapText="1" readingOrder="1"/>
    </xf>
    <xf numFmtId="0" fontId="10" fillId="4" borderId="1" xfId="1" applyFont="1" applyFill="1" applyBorder="1" applyAlignment="1">
      <alignment horizontal="center" vertical="top" wrapText="1" readingOrder="1"/>
    </xf>
    <xf numFmtId="0" fontId="30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 wrapText="1"/>
    </xf>
    <xf numFmtId="0" fontId="29" fillId="0" borderId="5" xfId="0" applyFont="1" applyBorder="1" applyAlignment="1">
      <alignment horizontal="center" vertical="top" wrapText="1" readingOrder="1"/>
    </xf>
    <xf numFmtId="0" fontId="29" fillId="0" borderId="7" xfId="0" applyFont="1" applyBorder="1" applyAlignment="1">
      <alignment horizontal="center" vertical="top" wrapText="1" readingOrder="1"/>
    </xf>
    <xf numFmtId="0" fontId="29" fillId="0" borderId="6" xfId="0" applyFont="1" applyBorder="1" applyAlignment="1">
      <alignment horizontal="center" vertical="top" wrapText="1" readingOrder="1"/>
    </xf>
    <xf numFmtId="49" fontId="28" fillId="11" borderId="1" xfId="1" applyNumberFormat="1" applyFont="1" applyFill="1" applyBorder="1" applyAlignment="1">
      <alignment horizontal="center" vertical="top" wrapText="1" readingOrder="1"/>
    </xf>
    <xf numFmtId="3" fontId="29" fillId="0" borderId="5" xfId="0" applyNumberFormat="1" applyFont="1" applyBorder="1" applyAlignment="1">
      <alignment horizontal="center" vertical="top" wrapText="1" readingOrder="1"/>
    </xf>
    <xf numFmtId="3" fontId="29" fillId="0" borderId="7" xfId="0" applyNumberFormat="1" applyFont="1" applyBorder="1" applyAlignment="1">
      <alignment horizontal="center" vertical="top" wrapText="1" readingOrder="1"/>
    </xf>
    <xf numFmtId="3" fontId="29" fillId="0" borderId="6" xfId="0" applyNumberFormat="1" applyFont="1" applyBorder="1" applyAlignment="1">
      <alignment horizontal="center" vertical="top" wrapText="1" readingOrder="1"/>
    </xf>
    <xf numFmtId="44" fontId="28" fillId="11" borderId="5" xfId="1" applyNumberFormat="1" applyFont="1" applyFill="1" applyBorder="1" applyAlignment="1">
      <alignment horizontal="center" vertical="top" wrapText="1" readingOrder="1"/>
    </xf>
    <xf numFmtId="44" fontId="28" fillId="11" borderId="6" xfId="1" applyNumberFormat="1" applyFont="1" applyFill="1" applyBorder="1" applyAlignment="1">
      <alignment horizontal="center" vertical="top" wrapText="1" readingOrder="1"/>
    </xf>
    <xf numFmtId="0" fontId="29" fillId="4" borderId="1" xfId="0" applyFont="1" applyFill="1" applyBorder="1" applyAlignment="1">
      <alignment horizontal="center" vertical="top" wrapText="1" readingOrder="1"/>
    </xf>
    <xf numFmtId="44" fontId="29" fillId="4" borderId="1" xfId="0" applyNumberFormat="1" applyFont="1" applyFill="1" applyBorder="1" applyAlignment="1">
      <alignment horizontal="center" vertical="top" wrapText="1" readingOrder="1"/>
    </xf>
    <xf numFmtId="0" fontId="29" fillId="6" borderId="1" xfId="0" applyFont="1" applyFill="1" applyBorder="1" applyAlignment="1">
      <alignment horizontal="center" vertical="center" wrapText="1" readingOrder="1"/>
    </xf>
    <xf numFmtId="0" fontId="21" fillId="0" borderId="1" xfId="0" applyFont="1" applyBorder="1" applyAlignment="1">
      <alignment horizontal="center" vertical="center" wrapText="1"/>
    </xf>
    <xf numFmtId="44" fontId="29" fillId="0" borderId="1" xfId="1" applyNumberFormat="1" applyFont="1" applyBorder="1" applyAlignment="1">
      <alignment horizontal="center" vertical="center" wrapText="1" readingOrder="1"/>
    </xf>
    <xf numFmtId="0" fontId="28" fillId="11" borderId="1" xfId="1" applyFont="1" applyFill="1" applyBorder="1" applyAlignment="1">
      <alignment horizontal="center" vertical="top" wrapText="1"/>
    </xf>
    <xf numFmtId="44" fontId="28" fillId="11" borderId="1" xfId="1" applyNumberFormat="1" applyFont="1" applyFill="1" applyBorder="1" applyAlignment="1">
      <alignment horizontal="center" vertical="top" wrapText="1"/>
    </xf>
    <xf numFmtId="0" fontId="28" fillId="12" borderId="1" xfId="0" applyFont="1" applyFill="1" applyBorder="1" applyAlignment="1">
      <alignment horizontal="center" vertical="center" wrapText="1" readingOrder="1"/>
    </xf>
    <xf numFmtId="44" fontId="28" fillId="11" borderId="1" xfId="1" applyNumberFormat="1" applyFont="1" applyFill="1" applyBorder="1" applyAlignment="1">
      <alignment horizontal="center" vertical="center" wrapText="1" readingOrder="1"/>
    </xf>
    <xf numFmtId="0" fontId="19" fillId="2" borderId="1" xfId="1" applyFont="1" applyFill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21" fillId="0" borderId="1" xfId="1" applyFont="1" applyBorder="1" applyAlignment="1">
      <alignment horizontal="left" vertical="top" wrapText="1" readingOrder="1"/>
    </xf>
    <xf numFmtId="0" fontId="12" fillId="0" borderId="0" xfId="3" applyFont="1" applyAlignment="1">
      <alignment horizontal="left" vertical="top" wrapText="1" readingOrder="1"/>
    </xf>
    <xf numFmtId="0" fontId="0" fillId="0" borderId="0" xfId="0" applyAlignment="1">
      <alignment horizontal="center"/>
    </xf>
    <xf numFmtId="0" fontId="16" fillId="5" borderId="1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16" fillId="17" borderId="1" xfId="0" applyFont="1" applyFill="1" applyBorder="1" applyAlignment="1">
      <alignment horizontal="center"/>
    </xf>
    <xf numFmtId="2" fontId="16" fillId="17" borderId="1" xfId="0" applyNumberFormat="1" applyFont="1" applyFill="1" applyBorder="1" applyAlignment="1">
      <alignment horizontal="center"/>
    </xf>
    <xf numFmtId="0" fontId="15" fillId="0" borderId="50" xfId="0" applyFont="1" applyFill="1" applyBorder="1" applyAlignment="1">
      <alignment horizontal="left" vertical="center" wrapText="1"/>
    </xf>
    <xf numFmtId="0" fontId="15" fillId="0" borderId="1" xfId="1" applyFont="1" applyFill="1" applyBorder="1" applyAlignment="1">
      <alignment horizontal="left" vertical="top" wrapText="1" readingOrder="1"/>
    </xf>
    <xf numFmtId="0" fontId="8" fillId="0" borderId="1" xfId="1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/>
    </xf>
    <xf numFmtId="0" fontId="15" fillId="0" borderId="5" xfId="1" applyFont="1" applyFill="1" applyBorder="1" applyAlignment="1">
      <alignment horizontal="left" vertical="top" wrapText="1" readingOrder="1"/>
    </xf>
    <xf numFmtId="0" fontId="15" fillId="0" borderId="6" xfId="1" applyFont="1" applyFill="1" applyBorder="1" applyAlignment="1">
      <alignment horizontal="left" vertical="top" wrapText="1" readingOrder="1"/>
    </xf>
    <xf numFmtId="0" fontId="15" fillId="0" borderId="1" xfId="1" applyFont="1" applyFill="1" applyBorder="1" applyAlignment="1">
      <alignment horizontal="left" vertical="top" wrapText="1"/>
    </xf>
    <xf numFmtId="0" fontId="0" fillId="0" borderId="0" xfId="0" applyBorder="1"/>
    <xf numFmtId="0" fontId="0" fillId="5" borderId="1" xfId="0" applyFill="1" applyBorder="1"/>
    <xf numFmtId="0" fontId="15" fillId="0" borderId="1" xfId="1" applyFont="1" applyFill="1" applyBorder="1" applyAlignment="1">
      <alignment horizontal="center" vertical="top" wrapText="1"/>
    </xf>
    <xf numFmtId="44" fontId="15" fillId="0" borderId="5" xfId="1" applyNumberFormat="1" applyFont="1" applyFill="1" applyBorder="1" applyAlignment="1">
      <alignment horizontal="center" vertical="top" wrapText="1" readingOrder="1"/>
    </xf>
    <xf numFmtId="44" fontId="15" fillId="0" borderId="6" xfId="1" applyNumberFormat="1" applyFont="1" applyFill="1" applyBorder="1" applyAlignment="1">
      <alignment horizontal="center" vertical="top" wrapText="1" readingOrder="1"/>
    </xf>
    <xf numFmtId="44" fontId="59" fillId="2" borderId="1" xfId="1" applyNumberFormat="1" applyFont="1" applyFill="1" applyBorder="1" applyAlignment="1">
      <alignment vertical="top" wrapText="1"/>
    </xf>
    <xf numFmtId="0" fontId="11" fillId="4" borderId="1" xfId="0" applyFont="1" applyFill="1" applyBorder="1" applyAlignment="1">
      <alignment horizontal="center" vertical="top" wrapText="1" readingOrder="1"/>
    </xf>
    <xf numFmtId="0" fontId="8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12" fillId="4" borderId="1" xfId="0" applyFont="1" applyFill="1" applyBorder="1" applyAlignment="1">
      <alignment horizontal="center" vertical="top" wrapText="1" readingOrder="1"/>
    </xf>
    <xf numFmtId="44" fontId="12" fillId="4" borderId="1" xfId="0" applyNumberFormat="1" applyFont="1" applyFill="1" applyBorder="1" applyAlignment="1">
      <alignment vertical="top" wrapText="1" readingOrder="1"/>
    </xf>
    <xf numFmtId="44" fontId="8" fillId="4" borderId="5" xfId="0" applyNumberFormat="1" applyFont="1" applyFill="1" applyBorder="1" applyAlignment="1">
      <alignment horizontal="center" vertical="top" wrapText="1"/>
    </xf>
    <xf numFmtId="44" fontId="8" fillId="4" borderId="6" xfId="0" applyNumberFormat="1" applyFont="1" applyFill="1" applyBorder="1" applyAlignment="1">
      <alignment horizontal="center" vertical="top" wrapText="1"/>
    </xf>
    <xf numFmtId="44" fontId="8" fillId="4" borderId="1" xfId="0" applyNumberFormat="1" applyFont="1" applyFill="1" applyBorder="1" applyAlignment="1">
      <alignment horizontal="center" vertical="center" wrapText="1"/>
    </xf>
    <xf numFmtId="44" fontId="59" fillId="4" borderId="1" xfId="1" applyNumberFormat="1" applyFont="1" applyFill="1" applyBorder="1" applyAlignment="1">
      <alignment vertical="top" wrapText="1"/>
    </xf>
    <xf numFmtId="44" fontId="13" fillId="2" borderId="5" xfId="1" applyNumberFormat="1" applyFont="1" applyFill="1" applyBorder="1" applyAlignment="1">
      <alignment horizontal="center" vertical="top" wrapText="1" readingOrder="1"/>
    </xf>
    <xf numFmtId="44" fontId="13" fillId="2" borderId="6" xfId="1" applyNumberFormat="1" applyFont="1" applyFill="1" applyBorder="1" applyAlignment="1">
      <alignment horizontal="center" vertical="top" wrapText="1" readingOrder="1"/>
    </xf>
    <xf numFmtId="10" fontId="13" fillId="2" borderId="1" xfId="1" applyNumberFormat="1" applyFont="1" applyFill="1" applyBorder="1" applyAlignment="1">
      <alignment horizontal="center" vertical="top" wrapText="1" readingOrder="1"/>
    </xf>
    <xf numFmtId="44" fontId="13" fillId="2" borderId="1" xfId="2" applyFont="1" applyFill="1" applyBorder="1" applyAlignment="1">
      <alignment vertical="top" wrapText="1"/>
    </xf>
    <xf numFmtId="44" fontId="13" fillId="2" borderId="1" xfId="1" applyNumberFormat="1" applyFont="1" applyFill="1" applyBorder="1" applyAlignment="1">
      <alignment vertical="top" wrapText="1" readingOrder="1"/>
    </xf>
    <xf numFmtId="0" fontId="0" fillId="0" borderId="0" xfId="0" applyFill="1" applyBorder="1"/>
    <xf numFmtId="2" fontId="0" fillId="0" borderId="1" xfId="0" applyNumberFormat="1" applyBorder="1" applyAlignment="1">
      <alignment horizontal="center"/>
    </xf>
    <xf numFmtId="0" fontId="12" fillId="21" borderId="51" xfId="0" applyFont="1" applyFill="1" applyBorder="1" applyAlignment="1">
      <alignment horizontal="center" vertical="top" wrapText="1" readingOrder="1"/>
    </xf>
    <xf numFmtId="0" fontId="8" fillId="22" borderId="52" xfId="0" applyFont="1" applyFill="1" applyBorder="1" applyAlignment="1">
      <alignment horizontal="center" vertical="top" wrapText="1"/>
    </xf>
    <xf numFmtId="0" fontId="8" fillId="22" borderId="53" xfId="0" applyFont="1" applyFill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 readingOrder="1"/>
    </xf>
    <xf numFmtId="0" fontId="15" fillId="0" borderId="7" xfId="0" applyFont="1" applyBorder="1" applyAlignment="1">
      <alignment horizontal="center" vertical="top" wrapText="1" readingOrder="1"/>
    </xf>
    <xf numFmtId="0" fontId="15" fillId="0" borderId="6" xfId="0" applyFont="1" applyBorder="1" applyAlignment="1">
      <alignment horizontal="center" vertical="top" wrapText="1" readingOrder="1"/>
    </xf>
    <xf numFmtId="0" fontId="13" fillId="9" borderId="5" xfId="0" applyFont="1" applyFill="1" applyBorder="1" applyAlignment="1">
      <alignment horizontal="center" vertical="top" wrapText="1" readingOrder="1"/>
    </xf>
    <xf numFmtId="0" fontId="13" fillId="9" borderId="7" xfId="0" applyFont="1" applyFill="1" applyBorder="1" applyAlignment="1">
      <alignment horizontal="center" vertical="top" wrapText="1" readingOrder="1"/>
    </xf>
    <xf numFmtId="0" fontId="13" fillId="9" borderId="6" xfId="0" applyFont="1" applyFill="1" applyBorder="1" applyAlignment="1">
      <alignment horizontal="center" vertical="top" wrapText="1" readingOrder="1"/>
    </xf>
    <xf numFmtId="0" fontId="8" fillId="0" borderId="53" xfId="0" applyFont="1" applyBorder="1" applyAlignment="1">
      <alignment horizontal="center" vertical="top" wrapText="1"/>
    </xf>
    <xf numFmtId="0" fontId="12" fillId="6" borderId="23" xfId="0" applyFont="1" applyFill="1" applyBorder="1" applyAlignment="1">
      <alignment horizontal="center" vertical="top" wrapText="1" readingOrder="1"/>
    </xf>
    <xf numFmtId="0" fontId="12" fillId="6" borderId="7" xfId="0" applyFont="1" applyFill="1" applyBorder="1" applyAlignment="1">
      <alignment horizontal="center" vertical="top" wrapText="1" readingOrder="1"/>
    </xf>
    <xf numFmtId="0" fontId="12" fillId="6" borderId="1" xfId="0" applyFont="1" applyFill="1" applyBorder="1" applyAlignment="1">
      <alignment horizontal="center" vertical="top" wrapText="1" readingOrder="1"/>
    </xf>
    <xf numFmtId="0" fontId="0" fillId="0" borderId="0" xfId="0" applyAlignment="1">
      <alignment wrapText="1"/>
    </xf>
    <xf numFmtId="3" fontId="12" fillId="0" borderId="1" xfId="0" applyNumberFormat="1" applyFont="1" applyBorder="1" applyAlignment="1">
      <alignment horizontal="center" vertical="top" wrapText="1" readingOrder="1"/>
    </xf>
    <xf numFmtId="0" fontId="8" fillId="0" borderId="1" xfId="0" applyFont="1" applyFill="1" applyBorder="1" applyAlignment="1">
      <alignment horizontal="center" vertical="top" wrapText="1"/>
    </xf>
    <xf numFmtId="0" fontId="8" fillId="0" borderId="0" xfId="1" applyFont="1" applyFill="1" applyAlignment="1">
      <alignment horizontal="center"/>
    </xf>
    <xf numFmtId="0" fontId="15" fillId="0" borderId="7" xfId="0" applyFont="1" applyBorder="1" applyAlignment="1">
      <alignment horizontal="center" vertical="center" wrapText="1" readingOrder="1"/>
    </xf>
    <xf numFmtId="0" fontId="15" fillId="0" borderId="6" xfId="0" applyFont="1" applyBorder="1" applyAlignment="1">
      <alignment horizontal="center" vertical="center" wrapText="1" readingOrder="1"/>
    </xf>
    <xf numFmtId="3" fontId="15" fillId="0" borderId="5" xfId="0" applyNumberFormat="1" applyFont="1" applyBorder="1" applyAlignment="1">
      <alignment horizontal="center" vertical="center" wrapText="1" readingOrder="1"/>
    </xf>
    <xf numFmtId="3" fontId="15" fillId="0" borderId="1" xfId="0" applyNumberFormat="1" applyFont="1" applyBorder="1" applyAlignment="1">
      <alignment horizontal="center" vertical="top" wrapText="1" readingOrder="1"/>
    </xf>
    <xf numFmtId="0" fontId="12" fillId="0" borderId="1" xfId="0" applyFont="1" applyFill="1" applyBorder="1" applyAlignment="1">
      <alignment horizontal="left" vertical="top" wrapText="1" readingOrder="1"/>
    </xf>
    <xf numFmtId="0" fontId="8" fillId="0" borderId="1" xfId="0" applyFont="1" applyFill="1" applyBorder="1" applyAlignment="1">
      <alignment horizontal="left" vertical="top" wrapText="1"/>
    </xf>
    <xf numFmtId="0" fontId="15" fillId="0" borderId="5" xfId="0" applyFont="1" applyFill="1" applyBorder="1" applyAlignment="1">
      <alignment horizontal="left"/>
    </xf>
    <xf numFmtId="0" fontId="15" fillId="0" borderId="6" xfId="0" applyFont="1" applyFill="1" applyBorder="1" applyAlignment="1">
      <alignment horizontal="left"/>
    </xf>
    <xf numFmtId="0" fontId="15" fillId="0" borderId="5" xfId="3" applyFill="1" applyBorder="1" applyAlignment="1">
      <alignment horizontal="left" vertical="top" wrapText="1" readingOrder="1"/>
    </xf>
    <xf numFmtId="0" fontId="15" fillId="0" borderId="6" xfId="3" applyFill="1" applyBorder="1" applyAlignment="1">
      <alignment horizontal="left" vertical="top" wrapText="1" readingOrder="1"/>
    </xf>
    <xf numFmtId="0" fontId="12" fillId="0" borderId="1" xfId="0" applyFont="1" applyFill="1" applyBorder="1" applyAlignment="1">
      <alignment vertical="top" wrapText="1" readingOrder="1"/>
    </xf>
    <xf numFmtId="0" fontId="12" fillId="0" borderId="23" xfId="0" applyFont="1" applyFill="1" applyBorder="1" applyAlignment="1">
      <alignment horizontal="left" vertical="top" wrapText="1" readingOrder="1"/>
    </xf>
    <xf numFmtId="0" fontId="12" fillId="0" borderId="7" xfId="0" applyFont="1" applyFill="1" applyBorder="1" applyAlignment="1">
      <alignment horizontal="left" vertical="top" wrapText="1" readingOrder="1"/>
    </xf>
    <xf numFmtId="0" fontId="15" fillId="0" borderId="7" xfId="0" applyFont="1" applyFill="1" applyBorder="1" applyAlignment="1">
      <alignment vertical="top" wrapText="1" readingOrder="1"/>
    </xf>
    <xf numFmtId="0" fontId="15" fillId="0" borderId="1" xfId="0" applyFont="1" applyFill="1" applyBorder="1" applyAlignment="1">
      <alignment horizontal="left" vertical="top" wrapText="1" readingOrder="1"/>
    </xf>
    <xf numFmtId="0" fontId="15" fillId="0" borderId="1" xfId="3" applyFill="1" applyBorder="1" applyAlignment="1">
      <alignment horizontal="left" vertical="top" wrapText="1" readingOrder="1"/>
    </xf>
    <xf numFmtId="2" fontId="15" fillId="0" borderId="1" xfId="1" applyNumberFormat="1" applyFont="1" applyFill="1" applyBorder="1" applyAlignment="1">
      <alignment horizontal="center" vertical="top" wrapText="1"/>
    </xf>
    <xf numFmtId="0" fontId="8" fillId="0" borderId="1" xfId="1" applyFont="1" applyFill="1" applyBorder="1" applyAlignment="1">
      <alignment horizontal="center" vertical="top" wrapText="1"/>
    </xf>
    <xf numFmtId="0" fontId="11" fillId="10" borderId="1" xfId="0" applyFont="1" applyFill="1" applyBorder="1" applyAlignment="1">
      <alignment horizontal="center" vertical="top" wrapText="1" readingOrder="1"/>
    </xf>
    <xf numFmtId="0" fontId="8" fillId="2" borderId="1" xfId="0" applyFont="1" applyFill="1" applyBorder="1" applyAlignment="1">
      <alignment vertical="top" wrapText="1"/>
    </xf>
    <xf numFmtId="49" fontId="11" fillId="2" borderId="1" xfId="0" applyNumberFormat="1" applyFont="1" applyFill="1" applyBorder="1" applyAlignment="1">
      <alignment horizontal="center" vertical="top" wrapText="1" readingOrder="1"/>
    </xf>
    <xf numFmtId="49" fontId="13" fillId="2" borderId="1" xfId="1" applyNumberFormat="1" applyFont="1" applyFill="1" applyBorder="1" applyAlignment="1">
      <alignment horizontal="center" vertical="top" wrapText="1" readingOrder="1"/>
    </xf>
    <xf numFmtId="49" fontId="15" fillId="2" borderId="1" xfId="1" applyNumberFormat="1" applyFont="1" applyFill="1" applyBorder="1" applyAlignment="1">
      <alignment horizontal="center" vertical="top" wrapText="1"/>
    </xf>
    <xf numFmtId="49" fontId="8" fillId="2" borderId="1" xfId="0" applyNumberFormat="1" applyFont="1" applyFill="1" applyBorder="1" applyAlignment="1">
      <alignment horizontal="center" vertical="top" wrapText="1"/>
    </xf>
    <xf numFmtId="49" fontId="11" fillId="10" borderId="1" xfId="0" applyNumberFormat="1" applyFont="1" applyFill="1" applyBorder="1" applyAlignment="1">
      <alignment horizontal="center" vertical="top" wrapText="1" readingOrder="1"/>
    </xf>
    <xf numFmtId="49" fontId="8" fillId="2" borderId="1" xfId="1" applyNumberFormat="1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top" wrapText="1" readingOrder="1"/>
    </xf>
    <xf numFmtId="44" fontId="12" fillId="2" borderId="1" xfId="0" applyNumberFormat="1" applyFont="1" applyFill="1" applyBorder="1" applyAlignment="1">
      <alignment vertical="top" wrapText="1" readingOrder="1"/>
    </xf>
    <xf numFmtId="44" fontId="8" fillId="2" borderId="5" xfId="0" applyNumberFormat="1" applyFont="1" applyFill="1" applyBorder="1" applyAlignment="1">
      <alignment horizontal="center" vertical="top" wrapText="1"/>
    </xf>
    <xf numFmtId="44" fontId="8" fillId="2" borderId="6" xfId="0" applyNumberFormat="1" applyFont="1" applyFill="1" applyBorder="1" applyAlignment="1">
      <alignment horizontal="center" vertical="top" wrapText="1"/>
    </xf>
    <xf numFmtId="44" fontId="8" fillId="2" borderId="1" xfId="0" applyNumberFormat="1" applyFont="1" applyFill="1" applyBorder="1" applyAlignment="1">
      <alignment horizontal="center" vertical="center" wrapText="1"/>
    </xf>
  </cellXfs>
  <cellStyles count="10">
    <cellStyle name="Hiperlink" xfId="9" builtinId="8"/>
    <cellStyle name="Moeda 2" xfId="2" xr:uid="{ECC79EE2-BA44-4939-A50F-0F36DF14EB6F}"/>
    <cellStyle name="Normal" xfId="0" builtinId="0"/>
    <cellStyle name="Normal 2" xfId="1" xr:uid="{625BC4EA-DC35-4B0B-A2CC-886798B7E94C}"/>
    <cellStyle name="Normal 2 2" xfId="3" xr:uid="{D4C3913A-DDFD-483F-B74D-A55C7A2B9356}"/>
    <cellStyle name="Normal 3" xfId="4" xr:uid="{6DD3E3B3-5131-4754-956C-9FD6E628FD47}"/>
    <cellStyle name="Normal 4" xfId="5" xr:uid="{E5735F6E-62B5-4C8D-B17E-448ED9B1C19E}"/>
    <cellStyle name="Normal 5 5" xfId="7" xr:uid="{F9721AB9-CD38-4C18-B814-78695D190781}"/>
    <cellStyle name="Normal 66" xfId="6" xr:uid="{3712217E-CB4F-43B7-BA7D-8896F3044BE3}"/>
    <cellStyle name="Porcentagem 2" xfId="8" xr:uid="{11BC171F-987C-41FE-BA62-CE84425B4BAE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498020</xdr:colOff>
      <xdr:row>2</xdr:row>
      <xdr:rowOff>376916</xdr:rowOff>
    </xdr:from>
    <xdr:to>
      <xdr:col>1</xdr:col>
      <xdr:colOff>3526576</xdr:colOff>
      <xdr:row>2</xdr:row>
      <xdr:rowOff>820782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29B92AA-83CA-4FC4-84EF-137ECFF63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560" y="1596116"/>
          <a:ext cx="3024746" cy="449581"/>
        </a:xfrm>
        <a:prstGeom prst="rect">
          <a:avLst/>
        </a:prstGeom>
      </xdr:spPr>
    </xdr:pic>
    <xdr:clientData/>
  </xdr:twoCellAnchor>
  <xdr:twoCellAnchor editAs="oneCell">
    <xdr:from>
      <xdr:col>3</xdr:col>
      <xdr:colOff>817542</xdr:colOff>
      <xdr:row>15</xdr:row>
      <xdr:rowOff>66748</xdr:rowOff>
    </xdr:from>
    <xdr:to>
      <xdr:col>11</xdr:col>
      <xdr:colOff>340926</xdr:colOff>
      <xdr:row>19</xdr:row>
      <xdr:rowOff>136238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445287B-9366-4ED0-B909-E816E22CF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7702" y="7016188"/>
          <a:ext cx="5701299" cy="78386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</xdr:row>
      <xdr:rowOff>0</xdr:rowOff>
    </xdr:from>
    <xdr:to>
      <xdr:col>9</xdr:col>
      <xdr:colOff>554125</xdr:colOff>
      <xdr:row>2</xdr:row>
      <xdr:rowOff>1198096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1CFD675-E40D-46F4-9B09-D1F6C712E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3600" y="1219200"/>
          <a:ext cx="4607965" cy="1201906"/>
        </a:xfrm>
        <a:prstGeom prst="rect">
          <a:avLst/>
        </a:prstGeom>
      </xdr:spPr>
    </xdr:pic>
    <xdr:clientData/>
  </xdr:twoCellAnchor>
  <xdr:twoCellAnchor editAs="oneCell">
    <xdr:from>
      <xdr:col>4</xdr:col>
      <xdr:colOff>40798</xdr:colOff>
      <xdr:row>2</xdr:row>
      <xdr:rowOff>1232078</xdr:rowOff>
    </xdr:from>
    <xdr:to>
      <xdr:col>12</xdr:col>
      <xdr:colOff>72721</xdr:colOff>
      <xdr:row>2</xdr:row>
      <xdr:rowOff>3293745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2139E08-7835-4375-8B96-D25EC0671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56298" y="2451278"/>
          <a:ext cx="6023148" cy="2061667"/>
        </a:xfrm>
        <a:prstGeom prst="rect">
          <a:avLst/>
        </a:prstGeom>
      </xdr:spPr>
    </xdr:pic>
    <xdr:clientData/>
  </xdr:twoCellAnchor>
  <xdr:twoCellAnchor editAs="oneCell">
    <xdr:from>
      <xdr:col>4</xdr:col>
      <xdr:colOff>56029</xdr:colOff>
      <xdr:row>3</xdr:row>
      <xdr:rowOff>84604</xdr:rowOff>
    </xdr:from>
    <xdr:to>
      <xdr:col>12</xdr:col>
      <xdr:colOff>60842</xdr:colOff>
      <xdr:row>13</xdr:row>
      <xdr:rowOff>16973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6E4B4FC-CA3D-4FA4-BFB8-02BBB628B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71529" y="4641364"/>
          <a:ext cx="6003658" cy="1945954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1</xdr:rowOff>
    </xdr:from>
    <xdr:to>
      <xdr:col>20</xdr:col>
      <xdr:colOff>284260</xdr:colOff>
      <xdr:row>2</xdr:row>
      <xdr:rowOff>1998630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5C21109-45C2-4979-BED0-A8EDFDB5D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06800" y="1219201"/>
          <a:ext cx="4694335" cy="2002439"/>
        </a:xfrm>
        <a:prstGeom prst="rect">
          <a:avLst/>
        </a:prstGeom>
      </xdr:spPr>
    </xdr:pic>
    <xdr:clientData/>
  </xdr:twoCellAnchor>
  <xdr:twoCellAnchor editAs="oneCell">
    <xdr:from>
      <xdr:col>12</xdr:col>
      <xdr:colOff>521804</xdr:colOff>
      <xdr:row>2</xdr:row>
      <xdr:rowOff>2087218</xdr:rowOff>
    </xdr:from>
    <xdr:to>
      <xdr:col>20</xdr:col>
      <xdr:colOff>321597</xdr:colOff>
      <xdr:row>29</xdr:row>
      <xdr:rowOff>53918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1E48F51-6146-4370-B8E8-98829EADE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03764" y="3306418"/>
          <a:ext cx="4836613" cy="6476335"/>
        </a:xfrm>
        <a:prstGeom prst="rect">
          <a:avLst/>
        </a:prstGeom>
      </xdr:spPr>
    </xdr:pic>
    <xdr:clientData/>
  </xdr:twoCellAnchor>
  <xdr:twoCellAnchor editAs="oneCell">
    <xdr:from>
      <xdr:col>20</xdr:col>
      <xdr:colOff>503464</xdr:colOff>
      <xdr:row>0</xdr:row>
      <xdr:rowOff>585108</xdr:rowOff>
    </xdr:from>
    <xdr:to>
      <xdr:col>28</xdr:col>
      <xdr:colOff>513460</xdr:colOff>
      <xdr:row>15</xdr:row>
      <xdr:rowOff>170631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778D68A-F3E3-4C89-92D9-53FD3038C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184144" y="585108"/>
          <a:ext cx="5050626" cy="65387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59</xdr:row>
      <xdr:rowOff>4571</xdr:rowOff>
    </xdr:from>
    <xdr:ext cx="7333615" cy="18034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AFA0D91C-E4C0-4AF7-B134-80574F21CA36}"/>
            </a:ext>
          </a:extLst>
        </xdr:cNvPr>
        <xdr:cNvSpPr/>
      </xdr:nvSpPr>
      <xdr:spPr>
        <a:xfrm>
          <a:off x="0" y="7415021"/>
          <a:ext cx="7333615" cy="180340"/>
        </a:xfrm>
        <a:custGeom>
          <a:avLst/>
          <a:gdLst/>
          <a:ahLst/>
          <a:cxnLst/>
          <a:rect l="0" t="0" r="0" b="0"/>
          <a:pathLst>
            <a:path w="7333615" h="180340">
              <a:moveTo>
                <a:pt x="7333487" y="0"/>
              </a:moveTo>
              <a:lnTo>
                <a:pt x="0" y="0"/>
              </a:lnTo>
              <a:lnTo>
                <a:pt x="0" y="179831"/>
              </a:lnTo>
              <a:lnTo>
                <a:pt x="7333487" y="179831"/>
              </a:lnTo>
              <a:lnTo>
                <a:pt x="7333487" y="0"/>
              </a:lnTo>
              <a:close/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85</xdr:row>
      <xdr:rowOff>4571</xdr:rowOff>
    </xdr:from>
    <xdr:ext cx="7333615" cy="18034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BD9CC7F7-462E-497B-BB07-28E462AEED97}"/>
            </a:ext>
          </a:extLst>
        </xdr:cNvPr>
        <xdr:cNvSpPr/>
      </xdr:nvSpPr>
      <xdr:spPr>
        <a:xfrm>
          <a:off x="0" y="15292196"/>
          <a:ext cx="7333615" cy="180340"/>
        </a:xfrm>
        <a:custGeom>
          <a:avLst/>
          <a:gdLst/>
          <a:ahLst/>
          <a:cxnLst/>
          <a:rect l="0" t="0" r="0" b="0"/>
          <a:pathLst>
            <a:path w="7333615" h="180340">
              <a:moveTo>
                <a:pt x="7333487" y="0"/>
              </a:moveTo>
              <a:lnTo>
                <a:pt x="0" y="0"/>
              </a:lnTo>
              <a:lnTo>
                <a:pt x="0" y="179831"/>
              </a:lnTo>
              <a:lnTo>
                <a:pt x="7333487" y="179831"/>
              </a:lnTo>
              <a:lnTo>
                <a:pt x="7333487" y="0"/>
              </a:lnTo>
              <a:close/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60</xdr:row>
      <xdr:rowOff>1045464</xdr:rowOff>
    </xdr:from>
    <xdr:ext cx="7277100" cy="762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2728BA0A-2B0B-4CD2-B25C-BEC47C98F50E}"/>
            </a:ext>
          </a:extLst>
        </xdr:cNvPr>
        <xdr:cNvSpPr/>
      </xdr:nvSpPr>
      <xdr:spPr>
        <a:xfrm>
          <a:off x="0" y="8646414"/>
          <a:ext cx="7277100" cy="7620"/>
        </a:xfrm>
        <a:custGeom>
          <a:avLst/>
          <a:gdLst/>
          <a:ahLst/>
          <a:cxnLst/>
          <a:rect l="0" t="0" r="0" b="0"/>
          <a:pathLst>
            <a:path w="7277100" h="7620">
              <a:moveTo>
                <a:pt x="0" y="0"/>
              </a:moveTo>
              <a:lnTo>
                <a:pt x="7277099" y="0"/>
              </a:lnTo>
            </a:path>
            <a:path w="7277100" h="7620">
              <a:moveTo>
                <a:pt x="0" y="1523"/>
              </a:moveTo>
              <a:lnTo>
                <a:pt x="7277099" y="1523"/>
              </a:lnTo>
            </a:path>
            <a:path w="7277100" h="7620">
              <a:moveTo>
                <a:pt x="0" y="3048"/>
              </a:moveTo>
              <a:lnTo>
                <a:pt x="7277099" y="3048"/>
              </a:lnTo>
            </a:path>
            <a:path w="7277100" h="7620">
              <a:moveTo>
                <a:pt x="0" y="4571"/>
              </a:moveTo>
              <a:lnTo>
                <a:pt x="7277099" y="4571"/>
              </a:lnTo>
            </a:path>
            <a:path w="7277100" h="7620">
              <a:moveTo>
                <a:pt x="0" y="6096"/>
              </a:moveTo>
              <a:lnTo>
                <a:pt x="7277099" y="6096"/>
              </a:lnTo>
            </a:path>
            <a:path w="7277100" h="7620">
              <a:moveTo>
                <a:pt x="0" y="7619"/>
              </a:moveTo>
              <a:lnTo>
                <a:pt x="7277099" y="7619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60</xdr:row>
      <xdr:rowOff>1722119</xdr:rowOff>
    </xdr:from>
    <xdr:ext cx="7277100" cy="762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BF9DF9F9-A19E-4EEE-83B7-C8088B8365D2}"/>
            </a:ext>
          </a:extLst>
        </xdr:cNvPr>
        <xdr:cNvSpPr/>
      </xdr:nvSpPr>
      <xdr:spPr>
        <a:xfrm>
          <a:off x="0" y="9323069"/>
          <a:ext cx="7277100" cy="7620"/>
        </a:xfrm>
        <a:custGeom>
          <a:avLst/>
          <a:gdLst/>
          <a:ahLst/>
          <a:cxnLst/>
          <a:rect l="0" t="0" r="0" b="0"/>
          <a:pathLst>
            <a:path w="7277100" h="7620">
              <a:moveTo>
                <a:pt x="0" y="0"/>
              </a:moveTo>
              <a:lnTo>
                <a:pt x="7277099" y="0"/>
              </a:lnTo>
            </a:path>
            <a:path w="7277100" h="7620">
              <a:moveTo>
                <a:pt x="0" y="1524"/>
              </a:moveTo>
              <a:lnTo>
                <a:pt x="7277099" y="1524"/>
              </a:lnTo>
            </a:path>
            <a:path w="7277100" h="7620">
              <a:moveTo>
                <a:pt x="0" y="3047"/>
              </a:moveTo>
              <a:lnTo>
                <a:pt x="7277099" y="3047"/>
              </a:lnTo>
            </a:path>
            <a:path w="7277100" h="7620">
              <a:moveTo>
                <a:pt x="0" y="4571"/>
              </a:moveTo>
              <a:lnTo>
                <a:pt x="7277099" y="4571"/>
              </a:lnTo>
            </a:path>
            <a:path w="7277100" h="7620">
              <a:moveTo>
                <a:pt x="0" y="6095"/>
              </a:moveTo>
              <a:lnTo>
                <a:pt x="7277099" y="6095"/>
              </a:lnTo>
            </a:path>
            <a:path w="7277100" h="7620">
              <a:moveTo>
                <a:pt x="0" y="7620"/>
              </a:moveTo>
              <a:lnTo>
                <a:pt x="7277099" y="762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78</xdr:row>
      <xdr:rowOff>221488</xdr:rowOff>
    </xdr:from>
    <xdr:ext cx="193675" cy="2413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9E578ACD-1D95-41A1-8E8B-BC1A877D4D2E}"/>
            </a:ext>
          </a:extLst>
        </xdr:cNvPr>
        <xdr:cNvSpPr/>
      </xdr:nvSpPr>
      <xdr:spPr>
        <a:xfrm>
          <a:off x="2619375" y="11841988"/>
          <a:ext cx="193675" cy="241300"/>
        </a:xfrm>
        <a:custGeom>
          <a:avLst/>
          <a:gdLst/>
          <a:ahLst/>
          <a:cxnLst/>
          <a:rect l="0" t="0" r="0" b="0"/>
          <a:pathLst>
            <a:path w="193675" h="241300">
              <a:moveTo>
                <a:pt x="193547" y="240791"/>
              </a:moveTo>
              <a:lnTo>
                <a:pt x="0" y="240791"/>
              </a:lnTo>
              <a:lnTo>
                <a:pt x="0" y="0"/>
              </a:lnTo>
              <a:lnTo>
                <a:pt x="193547" y="0"/>
              </a:lnTo>
              <a:lnTo>
                <a:pt x="193547" y="240791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81534" y="8265921"/>
    <xdr:ext cx="839723" cy="288035"/>
    <xdr:pic>
      <xdr:nvPicPr>
        <xdr:cNvPr id="4" name="image2.jpeg">
          <a:extLst>
            <a:ext uri="{FF2B5EF4-FFF2-40B4-BE49-F238E27FC236}">
              <a16:creationId xmlns:a16="http://schemas.microsoft.com/office/drawing/2014/main" id="{D25DC74C-F187-46B7-8269-243457711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" y="8265921"/>
          <a:ext cx="839723" cy="288035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ELOS%20-%201%20ENVIO/001-ELEVAT&#211;RIA-GERAL.xlsx" TargetMode="External"/><Relationship Id="rId2" Type="http://schemas.openxmlformats.org/officeDocument/2006/relationships/externalLinkPath" Target="file:///C:\Users\DANIEL_GAMA\Desktop\Daniel\2S%20Engenharia\23%20-%20MARING&#193;\05%20-%20CT%20Projetos\03%20-%20Elevat&#243;ria\MODELOS%20-%201%20ENVIO\001-ELEVAT&#211;RIA-GERAL.xlsx" TargetMode="External"/><Relationship Id="rId1" Type="http://schemas.openxmlformats.org/officeDocument/2006/relationships/externalLinkPath" Target="/Users/DANIEL_GAMA/Desktop/Daniel/2S%20Engenharia/23%20-%20MARING&#193;/05%20-%20CT%20Projetos/03%20-%20Elevat&#243;ria/MODELOS%20-%201%20ENVIO/001-ELEVAT&#211;RIA-GERA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2sengenharia-my.sharepoint.com/personal/daniel_gama_2sengenharia_onmicrosoft_com/Documents/&#193;rea%20de%20Trabalho/Daniel/2S%20Engenharia/23%20-%20MARING&#193;/05%20-%20CT%20Projetos/Elevat&#243;ria/MODELOS%20-%202%20ENVIO/001-ELEVAT&#211;RIA-GERAL.xlsx" TargetMode="External"/><Relationship Id="rId2" Type="http://schemas.microsoft.com/office/2019/04/relationships/externalLinkLongPath" Target="https://2sengenharia-my.sharepoint.com/personal/daniel_gama_2sengenharia_onmicrosoft_com/Documents/&#193;rea%20de%20Trabalho/Daniel/2S%20Engenharia/23%20-%20MARING&#193;/05%20-%20CT%20Projetos/Elevat&#243;ria/MODELOS%20-%202%20ENVIO/001-ELEVAT&#211;RIA-GERAL.xlsx?A1F077D3" TargetMode="External"/><Relationship Id="rId1" Type="http://schemas.openxmlformats.org/officeDocument/2006/relationships/externalLinkPath" Target="file:///\\A1F077D3\001-ELEVAT&#211;RIA-GERAL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SB-A5/01%20-%20ORC.%20ELEVAT&#211;RIA_A5.xlsx" TargetMode="External"/><Relationship Id="rId2" Type="http://schemas.openxmlformats.org/officeDocument/2006/relationships/externalLinkPath" Target="file:///C:\Users\DANIEL_GAMA\Desktop\Daniel\2S%20Engenharia\23%20-%20MARING&#193;\05%20-%20CT%20Projetos\03%20-%20Elevat&#243;ria\04%20-%20ALTAMIRA\SB-A5\01%20-%20ORC.%20ELEVAT&#211;RIA_A5.xlsx" TargetMode="External"/><Relationship Id="rId1" Type="http://schemas.openxmlformats.org/officeDocument/2006/relationships/externalLinkPath" Target="/Users/DANIEL_GAMA/Desktop/Daniel/2S%20Engenharia/23%20-%20MARING&#193;/05%20-%20CT%20Projetos/03%20-%20Elevat&#243;ria/04%20-%20ALTAMIRA/SB-A5/01%20-%20ORC.%20ELEVAT&#211;RIA_A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RÇAMENTO SINTÉTICO - teste"/>
      <sheetName val="ORÇAMENTO SINTÉTICO - MODELO-01"/>
      <sheetName val="ORÇAMENTO SINTÉTICO - MODELO-02"/>
      <sheetName val="ORÇAMENTO SINTÉTICO - MODELO-03"/>
      <sheetName val="BDI"/>
      <sheetName val="BDI (2)"/>
      <sheetName val="BDI (3)"/>
      <sheetName val="RESUMO PROJETO"/>
      <sheetName val="REF_TAB_PREÇOS_SANEPAR"/>
    </sheetNames>
    <sheetDataSet>
      <sheetData sheetId="0"/>
      <sheetData sheetId="1"/>
      <sheetData sheetId="2"/>
      <sheetData sheetId="3"/>
      <sheetData sheetId="4">
        <row r="17">
          <cell r="C17">
            <v>0.24490000000000001</v>
          </cell>
        </row>
        <row r="31">
          <cell r="C31">
            <v>0.12989999999999999</v>
          </cell>
        </row>
      </sheetData>
      <sheetData sheetId="5"/>
      <sheetData sheetId="6"/>
      <sheetData sheetId="7"/>
      <sheetData sheetId="8">
        <row r="32">
          <cell r="I32" t="str">
            <v/>
          </cell>
        </row>
        <row r="35">
          <cell r="I35">
            <v>135.68</v>
          </cell>
        </row>
        <row r="37">
          <cell r="I37" t="str">
            <v/>
          </cell>
        </row>
        <row r="38">
          <cell r="I38">
            <v>552.66</v>
          </cell>
        </row>
        <row r="39">
          <cell r="I39" t="str">
            <v/>
          </cell>
        </row>
        <row r="40">
          <cell r="I40" t="str">
            <v/>
          </cell>
        </row>
        <row r="83">
          <cell r="I83">
            <v>2.72</v>
          </cell>
        </row>
        <row r="138">
          <cell r="I138" t="str">
            <v/>
          </cell>
        </row>
        <row r="140">
          <cell r="I140">
            <v>290.70999999999998</v>
          </cell>
        </row>
        <row r="160">
          <cell r="I160" t="str">
            <v/>
          </cell>
        </row>
        <row r="161">
          <cell r="I161">
            <v>60.46</v>
          </cell>
        </row>
        <row r="167">
          <cell r="I167" t="str">
            <v/>
          </cell>
        </row>
        <row r="172">
          <cell r="I172">
            <v>154.12</v>
          </cell>
        </row>
        <row r="173">
          <cell r="I173" t="str">
            <v/>
          </cell>
        </row>
        <row r="184">
          <cell r="I184" t="str">
            <v/>
          </cell>
        </row>
        <row r="185">
          <cell r="I185">
            <v>6.05</v>
          </cell>
        </row>
        <row r="201">
          <cell r="I201" t="str">
            <v/>
          </cell>
        </row>
        <row r="202">
          <cell r="I202">
            <v>0.3</v>
          </cell>
        </row>
        <row r="205">
          <cell r="I205">
            <v>1.84</v>
          </cell>
        </row>
        <row r="206">
          <cell r="I206" t="str">
            <v/>
          </cell>
        </row>
        <row r="207">
          <cell r="I207">
            <v>151.33000000000001</v>
          </cell>
        </row>
        <row r="208">
          <cell r="I208">
            <v>247.24</v>
          </cell>
        </row>
        <row r="249">
          <cell r="I249" t="str">
            <v/>
          </cell>
        </row>
        <row r="296">
          <cell r="I296" t="str">
            <v/>
          </cell>
        </row>
        <row r="298">
          <cell r="I298">
            <v>15.3</v>
          </cell>
        </row>
        <row r="330">
          <cell r="I330" t="str">
            <v/>
          </cell>
        </row>
        <row r="331">
          <cell r="I331">
            <v>8.98</v>
          </cell>
        </row>
        <row r="338">
          <cell r="I338" t="str">
            <v/>
          </cell>
        </row>
        <row r="444">
          <cell r="I444" t="str">
            <v/>
          </cell>
        </row>
        <row r="524">
          <cell r="I524" t="str">
            <v/>
          </cell>
        </row>
        <row r="530">
          <cell r="I530">
            <v>123.31</v>
          </cell>
        </row>
        <row r="575">
          <cell r="I575" t="str">
            <v/>
          </cell>
        </row>
        <row r="576">
          <cell r="I576">
            <v>15.36</v>
          </cell>
        </row>
        <row r="585">
          <cell r="I585" t="str">
            <v/>
          </cell>
        </row>
        <row r="587">
          <cell r="I587">
            <v>813.71</v>
          </cell>
        </row>
        <row r="594">
          <cell r="I594" t="str">
            <v/>
          </cell>
        </row>
        <row r="614">
          <cell r="I614">
            <v>644.25</v>
          </cell>
        </row>
        <row r="619">
          <cell r="I619" t="str">
            <v/>
          </cell>
        </row>
        <row r="620">
          <cell r="I620">
            <v>52.77</v>
          </cell>
        </row>
        <row r="646">
          <cell r="I646" t="str">
            <v/>
          </cell>
        </row>
        <row r="648">
          <cell r="I648">
            <v>225.55</v>
          </cell>
        </row>
        <row r="673">
          <cell r="I673" t="str">
            <v/>
          </cell>
        </row>
        <row r="708">
          <cell r="I708" t="str">
            <v/>
          </cell>
        </row>
        <row r="720">
          <cell r="I720">
            <v>4.29</v>
          </cell>
        </row>
        <row r="763">
          <cell r="I763" t="str">
            <v/>
          </cell>
        </row>
        <row r="764">
          <cell r="I764">
            <v>7.23</v>
          </cell>
        </row>
        <row r="766">
          <cell r="I766">
            <v>13.94</v>
          </cell>
        </row>
        <row r="841">
          <cell r="I841" t="str">
            <v/>
          </cell>
        </row>
        <row r="842">
          <cell r="I842">
            <v>3473.34</v>
          </cell>
        </row>
        <row r="843">
          <cell r="I843">
            <v>1128.99</v>
          </cell>
        </row>
        <row r="886">
          <cell r="I886" t="str">
            <v/>
          </cell>
        </row>
        <row r="911">
          <cell r="I911" t="str">
            <v/>
          </cell>
        </row>
        <row r="938">
          <cell r="I938">
            <v>880.27</v>
          </cell>
        </row>
        <row r="1181">
          <cell r="I1181" t="str">
            <v/>
          </cell>
        </row>
        <row r="1231">
          <cell r="I1231" t="str">
            <v/>
          </cell>
        </row>
        <row r="1261">
          <cell r="I1261">
            <v>3.39</v>
          </cell>
        </row>
        <row r="1264">
          <cell r="I1264">
            <v>14.22</v>
          </cell>
        </row>
        <row r="2194">
          <cell r="I2194" t="str">
            <v/>
          </cell>
        </row>
        <row r="2338">
          <cell r="I2338" t="str">
            <v/>
          </cell>
        </row>
        <row r="2340">
          <cell r="I2340">
            <v>31.76</v>
          </cell>
        </row>
        <row r="2341">
          <cell r="I2341">
            <v>38.479999999999997</v>
          </cell>
        </row>
        <row r="2357">
          <cell r="I2357" t="str">
            <v/>
          </cell>
        </row>
        <row r="2565">
          <cell r="I2565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ORÇAMENTO SINTÉTICO - MODELO-01"/>
      <sheetName val="ORÇAMENTO SINTÉTICO - MODELO-02"/>
      <sheetName val="BDI"/>
      <sheetName val="BDI (2)"/>
      <sheetName val="RESUMO PROJETO"/>
      <sheetName val="REF_TAB_PREÇOS_SANEPAR"/>
    </sheetNames>
    <sheetDataSet>
      <sheetData sheetId="0" refreshError="1"/>
      <sheetData sheetId="1" refreshError="1"/>
      <sheetData sheetId="2" refreshError="1">
        <row r="17">
          <cell r="C17">
            <v>0.24490000000000001</v>
          </cell>
        </row>
        <row r="31">
          <cell r="C31">
            <v>0.12989999999999999</v>
          </cell>
        </row>
      </sheetData>
      <sheetData sheetId="3" refreshError="1"/>
      <sheetData sheetId="4" refreshError="1"/>
      <sheetData sheetId="5" refreshError="1">
        <row r="17">
          <cell r="I17">
            <v>858.04</v>
          </cell>
        </row>
        <row r="27">
          <cell r="I27" t="str">
            <v/>
          </cell>
        </row>
        <row r="28">
          <cell r="I28">
            <v>196.68</v>
          </cell>
        </row>
        <row r="32">
          <cell r="I32" t="str">
            <v/>
          </cell>
        </row>
        <row r="36">
          <cell r="I36">
            <v>186.69</v>
          </cell>
        </row>
        <row r="37">
          <cell r="I37" t="str">
            <v/>
          </cell>
        </row>
        <row r="38">
          <cell r="I38">
            <v>552.66</v>
          </cell>
        </row>
        <row r="39">
          <cell r="I39" t="str">
            <v/>
          </cell>
        </row>
        <row r="40">
          <cell r="I40" t="str">
            <v/>
          </cell>
        </row>
        <row r="44">
          <cell r="I44">
            <v>39.04</v>
          </cell>
        </row>
        <row r="48">
          <cell r="I48">
            <v>1.02</v>
          </cell>
        </row>
        <row r="83">
          <cell r="I83">
            <v>2.72</v>
          </cell>
        </row>
        <row r="138">
          <cell r="I138" t="str">
            <v/>
          </cell>
        </row>
        <row r="140">
          <cell r="I140">
            <v>290.70999999999998</v>
          </cell>
        </row>
        <row r="167">
          <cell r="I167" t="str">
            <v/>
          </cell>
        </row>
        <row r="172">
          <cell r="I172">
            <v>154.12</v>
          </cell>
        </row>
        <row r="173">
          <cell r="I173" t="str">
            <v/>
          </cell>
        </row>
        <row r="184">
          <cell r="I184" t="str">
            <v/>
          </cell>
        </row>
        <row r="185">
          <cell r="I185">
            <v>6.05</v>
          </cell>
        </row>
        <row r="201">
          <cell r="I201" t="str">
            <v/>
          </cell>
        </row>
        <row r="202">
          <cell r="I202">
            <v>0.3</v>
          </cell>
        </row>
        <row r="205">
          <cell r="I205">
            <v>1.84</v>
          </cell>
        </row>
        <row r="206">
          <cell r="I206" t="str">
            <v/>
          </cell>
        </row>
        <row r="207">
          <cell r="I207">
            <v>151.33000000000001</v>
          </cell>
        </row>
        <row r="208">
          <cell r="I208">
            <v>247.24</v>
          </cell>
        </row>
        <row r="249">
          <cell r="I249" t="str">
            <v/>
          </cell>
        </row>
        <row r="296">
          <cell r="I296" t="str">
            <v/>
          </cell>
        </row>
        <row r="299">
          <cell r="I299">
            <v>18.440000000000001</v>
          </cell>
        </row>
        <row r="330">
          <cell r="I330" t="str">
            <v/>
          </cell>
        </row>
        <row r="331">
          <cell r="I331">
            <v>8.98</v>
          </cell>
        </row>
        <row r="444">
          <cell r="I444" t="str">
            <v/>
          </cell>
        </row>
        <row r="445">
          <cell r="I445" t="str">
            <v/>
          </cell>
        </row>
        <row r="448">
          <cell r="I448">
            <v>94.94</v>
          </cell>
        </row>
        <row r="517">
          <cell r="I517" t="str">
            <v/>
          </cell>
        </row>
        <row r="520">
          <cell r="I520">
            <v>94.57</v>
          </cell>
        </row>
        <row r="524">
          <cell r="I524" t="str">
            <v/>
          </cell>
        </row>
        <row r="532">
          <cell r="I532">
            <v>121.54</v>
          </cell>
        </row>
        <row r="545">
          <cell r="I545" t="str">
            <v/>
          </cell>
        </row>
        <row r="551">
          <cell r="I551">
            <v>87.48</v>
          </cell>
        </row>
        <row r="575">
          <cell r="I575" t="str">
            <v/>
          </cell>
        </row>
        <row r="576">
          <cell r="I576">
            <v>15.36</v>
          </cell>
        </row>
        <row r="577">
          <cell r="I577">
            <v>16.079999999999998</v>
          </cell>
        </row>
        <row r="585">
          <cell r="I585" t="str">
            <v/>
          </cell>
        </row>
        <row r="587">
          <cell r="I587">
            <v>813.71</v>
          </cell>
        </row>
        <row r="594">
          <cell r="I594" t="str">
            <v/>
          </cell>
        </row>
        <row r="613">
          <cell r="I613">
            <v>576.29999999999995</v>
          </cell>
        </row>
        <row r="619">
          <cell r="I619" t="str">
            <v/>
          </cell>
        </row>
        <row r="620">
          <cell r="I620">
            <v>52.77</v>
          </cell>
        </row>
        <row r="646">
          <cell r="I646" t="str">
            <v/>
          </cell>
        </row>
        <row r="648">
          <cell r="I648">
            <v>225.55</v>
          </cell>
        </row>
        <row r="673">
          <cell r="I673" t="str">
            <v/>
          </cell>
        </row>
        <row r="689">
          <cell r="I689" t="str">
            <v/>
          </cell>
        </row>
        <row r="692">
          <cell r="I692">
            <v>10.79</v>
          </cell>
        </row>
        <row r="708">
          <cell r="I708" t="str">
            <v/>
          </cell>
        </row>
        <row r="720">
          <cell r="I720">
            <v>4.29</v>
          </cell>
        </row>
        <row r="763">
          <cell r="I763" t="str">
            <v/>
          </cell>
        </row>
        <row r="766">
          <cell r="I766">
            <v>13.94</v>
          </cell>
        </row>
        <row r="767">
          <cell r="I767">
            <v>17.850000000000001</v>
          </cell>
        </row>
        <row r="841">
          <cell r="I841" t="str">
            <v/>
          </cell>
        </row>
        <row r="842">
          <cell r="I842">
            <v>3473.34</v>
          </cell>
        </row>
        <row r="843">
          <cell r="I843">
            <v>1128.99</v>
          </cell>
        </row>
        <row r="886">
          <cell r="I886" t="str">
            <v/>
          </cell>
        </row>
        <row r="911">
          <cell r="I911" t="str">
            <v/>
          </cell>
        </row>
        <row r="918">
          <cell r="I918">
            <v>1471.57</v>
          </cell>
        </row>
        <row r="938">
          <cell r="I938">
            <v>880.27</v>
          </cell>
        </row>
        <row r="941">
          <cell r="I941">
            <v>88.18</v>
          </cell>
        </row>
        <row r="1028">
          <cell r="I1028" t="str">
            <v/>
          </cell>
        </row>
        <row r="1029">
          <cell r="I1029" t="str">
            <v/>
          </cell>
        </row>
        <row r="1032">
          <cell r="I1032">
            <v>95.89</v>
          </cell>
        </row>
        <row r="1100">
          <cell r="I1100" t="str">
            <v/>
          </cell>
        </row>
        <row r="1101">
          <cell r="I1101" t="str">
            <v/>
          </cell>
        </row>
        <row r="1105">
          <cell r="I1105">
            <v>1704.33</v>
          </cell>
        </row>
        <row r="1124">
          <cell r="I1124" t="str">
            <v/>
          </cell>
        </row>
        <row r="1127">
          <cell r="I1127">
            <v>17.54</v>
          </cell>
        </row>
        <row r="1131">
          <cell r="I1131">
            <v>52.02</v>
          </cell>
        </row>
        <row r="1138">
          <cell r="I1138">
            <v>39.92</v>
          </cell>
        </row>
        <row r="1143">
          <cell r="I1143" t="str">
            <v/>
          </cell>
        </row>
        <row r="1145">
          <cell r="I1145">
            <v>15.28</v>
          </cell>
        </row>
        <row r="1153">
          <cell r="I1153">
            <v>9.33</v>
          </cell>
        </row>
        <row r="1154">
          <cell r="I1154">
            <v>10.79</v>
          </cell>
        </row>
        <row r="1161">
          <cell r="I1161">
            <v>23.82</v>
          </cell>
        </row>
        <row r="1162">
          <cell r="I1162">
            <v>26.34</v>
          </cell>
        </row>
        <row r="1164">
          <cell r="I1164">
            <v>23.88</v>
          </cell>
        </row>
        <row r="1181">
          <cell r="I1181" t="str">
            <v/>
          </cell>
        </row>
        <row r="1182">
          <cell r="I1182" t="str">
            <v/>
          </cell>
        </row>
        <row r="1187">
          <cell r="I1187">
            <v>371.42</v>
          </cell>
        </row>
        <row r="1188">
          <cell r="I1188">
            <v>101.06</v>
          </cell>
        </row>
        <row r="1202">
          <cell r="I1202" t="str">
            <v/>
          </cell>
        </row>
        <row r="1218">
          <cell r="I1218">
            <v>62.04</v>
          </cell>
        </row>
        <row r="1231">
          <cell r="I1231" t="str">
            <v/>
          </cell>
        </row>
        <row r="1254">
          <cell r="I1254">
            <v>23.36</v>
          </cell>
        </row>
        <row r="1261">
          <cell r="I1261">
            <v>3.39</v>
          </cell>
        </row>
        <row r="1265">
          <cell r="I1265">
            <v>20.84</v>
          </cell>
        </row>
        <row r="1266">
          <cell r="I1266">
            <v>31.23</v>
          </cell>
        </row>
        <row r="1285">
          <cell r="I1285">
            <v>44.61</v>
          </cell>
        </row>
        <row r="1291">
          <cell r="I1291">
            <v>44.61</v>
          </cell>
        </row>
        <row r="1295">
          <cell r="I1295">
            <v>72.12</v>
          </cell>
        </row>
        <row r="1330">
          <cell r="I1330" t="str">
            <v/>
          </cell>
        </row>
        <row r="1332">
          <cell r="I1332">
            <v>768.52</v>
          </cell>
        </row>
        <row r="1385">
          <cell r="I1385" t="str">
            <v/>
          </cell>
        </row>
        <row r="1395">
          <cell r="I1395">
            <v>1028.94</v>
          </cell>
        </row>
        <row r="1408">
          <cell r="I1408" t="str">
            <v/>
          </cell>
        </row>
        <row r="1412">
          <cell r="I1412">
            <v>89.88</v>
          </cell>
        </row>
        <row r="1413">
          <cell r="I1413">
            <v>98.05</v>
          </cell>
        </row>
        <row r="1501">
          <cell r="I1501" t="str">
            <v/>
          </cell>
        </row>
        <row r="1525">
          <cell r="I1525">
            <v>69.930000000000007</v>
          </cell>
        </row>
        <row r="1632">
          <cell r="I1632" t="str">
            <v/>
          </cell>
        </row>
        <row r="1633">
          <cell r="I1633">
            <v>239.65</v>
          </cell>
        </row>
        <row r="1704">
          <cell r="I1704" t="str">
            <v/>
          </cell>
        </row>
        <row r="1708">
          <cell r="I1708">
            <v>444.7</v>
          </cell>
        </row>
        <row r="1807">
          <cell r="I1807" t="str">
            <v/>
          </cell>
        </row>
        <row r="1838">
          <cell r="I1838">
            <v>136.47</v>
          </cell>
        </row>
        <row r="1839">
          <cell r="I1839">
            <v>179.12</v>
          </cell>
        </row>
        <row r="1936">
          <cell r="I1936" t="str">
            <v/>
          </cell>
        </row>
        <row r="1941">
          <cell r="I1941">
            <v>50.81</v>
          </cell>
        </row>
        <row r="1982">
          <cell r="I1982">
            <v>110.18</v>
          </cell>
        </row>
        <row r="2178">
          <cell r="I2178" t="str">
            <v/>
          </cell>
        </row>
        <row r="2179">
          <cell r="I2179" t="str">
            <v/>
          </cell>
        </row>
        <row r="2186">
          <cell r="I2186">
            <v>9287.06</v>
          </cell>
        </row>
        <row r="2192">
          <cell r="I2192">
            <v>62.17</v>
          </cell>
        </row>
        <row r="2194">
          <cell r="I2194" t="str">
            <v/>
          </cell>
        </row>
        <row r="2195">
          <cell r="I2195">
            <v>20.32</v>
          </cell>
        </row>
        <row r="2229">
          <cell r="I2229" t="str">
            <v/>
          </cell>
        </row>
        <row r="2260">
          <cell r="I2260" t="str">
            <v/>
          </cell>
        </row>
        <row r="2261">
          <cell r="I2261">
            <v>254.25</v>
          </cell>
        </row>
        <row r="2332">
          <cell r="I2332" t="str">
            <v/>
          </cell>
        </row>
        <row r="2335">
          <cell r="I2335">
            <v>11.12</v>
          </cell>
        </row>
        <row r="2339">
          <cell r="I2339">
            <v>30.06</v>
          </cell>
        </row>
        <row r="2341">
          <cell r="I2341">
            <v>38.479999999999997</v>
          </cell>
        </row>
        <row r="2357">
          <cell r="I2357" t="str">
            <v/>
          </cell>
        </row>
        <row r="2380">
          <cell r="I2380" t="str">
            <v/>
          </cell>
        </row>
        <row r="2381">
          <cell r="I2381">
            <v>163.31</v>
          </cell>
        </row>
        <row r="2382">
          <cell r="I2382" t="str">
            <v/>
          </cell>
        </row>
        <row r="2383">
          <cell r="I2383">
            <v>131.65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RÇAMENTO SINTÉTICO - SB-A5"/>
      <sheetName val="BDI"/>
      <sheetName val="Memorial"/>
      <sheetName val="Quantitativo"/>
      <sheetName val="Preços tubos e conexões"/>
      <sheetName val="Elétrico"/>
      <sheetName val="ORÇAMENTO SINTÉTICO - PA4"/>
      <sheetName val="Quantitativo PA4"/>
    </sheetNames>
    <sheetDataSet>
      <sheetData sheetId="0" refreshError="1"/>
      <sheetData sheetId="1">
        <row r="17">
          <cell r="C17">
            <v>0.24490000000000001</v>
          </cell>
        </row>
        <row r="31">
          <cell r="C31">
            <v>0.12989999999999999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denio.maciel@2ssconstrucoes.com.b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ercadolivre.com.br/escada-marinheiro-de-aluminio-200-m--cor-branca/up/MLBU1136718753" TargetMode="External"/><Relationship Id="rId1" Type="http://schemas.openxmlformats.org/officeDocument/2006/relationships/hyperlink" Target="https://www.mercadolivre.com.br/uniao-ppr-flangeada-dn90-amanco/up/MLBU14763266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6C80B-25F8-488D-9534-680930C589A6}">
  <sheetPr>
    <tabColor rgb="FF92D050"/>
    <pageSetUpPr fitToPage="1"/>
  </sheetPr>
  <dimension ref="B1:V210"/>
  <sheetViews>
    <sheetView showGridLines="0" tabSelected="1" zoomScale="85" zoomScaleNormal="85" zoomScaleSheetLayoutView="70" zoomScalePageLayoutView="40" workbookViewId="0">
      <pane ySplit="13" topLeftCell="A14" activePane="bottomLeft" state="frozen"/>
      <selection pane="bottomLeft" activeCell="E18" sqref="E18:F18"/>
    </sheetView>
  </sheetViews>
  <sheetFormatPr defaultColWidth="9.140625" defaultRowHeight="15"/>
  <cols>
    <col min="1" max="1" width="1.7109375" style="7" customWidth="1"/>
    <col min="2" max="4" width="4.7109375" style="7" customWidth="1"/>
    <col min="5" max="5" width="7.85546875" style="7" customWidth="1"/>
    <col min="6" max="6" width="130.85546875" style="7" customWidth="1"/>
    <col min="7" max="7" width="11.28515625" style="7" bestFit="1" customWidth="1"/>
    <col min="8" max="8" width="14.28515625" style="7" bestFit="1" customWidth="1"/>
    <col min="9" max="9" width="13.7109375" style="7" bestFit="1" customWidth="1"/>
    <col min="10" max="10" width="12.42578125" style="7" customWidth="1"/>
    <col min="11" max="12" width="10.140625" style="7" customWidth="1"/>
    <col min="13" max="13" width="10" style="7" bestFit="1" customWidth="1"/>
    <col min="14" max="16" width="19.7109375" style="7" customWidth="1"/>
    <col min="17" max="17" width="9.140625" style="7"/>
    <col min="18" max="18" width="19.140625" style="7" customWidth="1"/>
    <col min="19" max="19" width="16" style="7" customWidth="1"/>
    <col min="20" max="22" width="9.140625" style="7"/>
    <col min="23" max="23" width="14.85546875" style="7" bestFit="1" customWidth="1"/>
    <col min="24" max="27" width="9.140625" style="7"/>
    <col min="28" max="28" width="14.5703125" style="7" bestFit="1" customWidth="1"/>
    <col min="29" max="16384" width="9.140625" style="7"/>
  </cols>
  <sheetData>
    <row r="1" spans="2:22" s="1" customFormat="1" ht="17.100000000000001" customHeight="1">
      <c r="B1" s="336" t="s">
        <v>0</v>
      </c>
      <c r="C1" s="337"/>
      <c r="D1" s="337"/>
      <c r="E1" s="337"/>
      <c r="F1" s="337"/>
      <c r="G1" s="338"/>
      <c r="H1" s="337"/>
      <c r="I1" s="337"/>
      <c r="J1" s="337"/>
      <c r="K1" s="337"/>
      <c r="L1" s="337"/>
      <c r="M1" s="337"/>
      <c r="N1" s="337"/>
      <c r="O1" s="337"/>
      <c r="P1" s="337"/>
    </row>
    <row r="2" spans="2:22" s="1" customFormat="1" ht="39.75" customHeight="1">
      <c r="B2" s="337"/>
      <c r="C2" s="337"/>
      <c r="D2" s="337"/>
      <c r="E2" s="337"/>
      <c r="F2" s="337"/>
      <c r="G2" s="338"/>
      <c r="H2" s="337"/>
      <c r="I2" s="337"/>
      <c r="J2" s="337"/>
      <c r="K2" s="337"/>
      <c r="L2" s="337"/>
      <c r="M2" s="337"/>
      <c r="N2" s="337"/>
      <c r="O2" s="337"/>
      <c r="P2" s="337"/>
    </row>
    <row r="3" spans="2:22" s="1" customFormat="1" ht="17.100000000000001" customHeight="1">
      <c r="B3" s="339" t="e" vm="1">
        <v>#VALUE!</v>
      </c>
      <c r="C3" s="339"/>
      <c r="D3" s="339"/>
      <c r="E3" s="339"/>
      <c r="F3" s="340" t="s">
        <v>876</v>
      </c>
      <c r="G3" s="341"/>
      <c r="H3" s="342"/>
      <c r="I3" s="331" t="s">
        <v>1</v>
      </c>
      <c r="J3" s="332"/>
      <c r="K3" s="333" t="s">
        <v>918</v>
      </c>
      <c r="L3" s="334"/>
      <c r="M3" s="335"/>
      <c r="N3" s="349" t="e" vm="2">
        <v>#VALUE!</v>
      </c>
      <c r="O3" s="349"/>
      <c r="P3" s="349"/>
    </row>
    <row r="4" spans="2:22" s="1" customFormat="1" ht="17.100000000000001" customHeight="1">
      <c r="B4" s="339"/>
      <c r="C4" s="339"/>
      <c r="D4" s="339"/>
      <c r="E4" s="339"/>
      <c r="F4" s="343"/>
      <c r="G4" s="344"/>
      <c r="H4" s="345"/>
      <c r="I4" s="331" t="s">
        <v>2</v>
      </c>
      <c r="J4" s="332"/>
      <c r="K4" s="333" t="s">
        <v>641</v>
      </c>
      <c r="L4" s="334"/>
      <c r="M4" s="335"/>
      <c r="N4" s="349"/>
      <c r="O4" s="349"/>
      <c r="P4" s="349"/>
    </row>
    <row r="5" spans="2:22" s="1" customFormat="1" ht="17.100000000000001" customHeight="1">
      <c r="B5" s="339"/>
      <c r="C5" s="339"/>
      <c r="D5" s="339"/>
      <c r="E5" s="339"/>
      <c r="F5" s="343"/>
      <c r="G5" s="344"/>
      <c r="H5" s="345"/>
      <c r="I5" s="331" t="s">
        <v>4</v>
      </c>
      <c r="J5" s="332"/>
      <c r="K5" s="333" t="s">
        <v>860</v>
      </c>
      <c r="L5" s="334"/>
      <c r="M5" s="335"/>
      <c r="N5" s="349"/>
      <c r="O5" s="349"/>
      <c r="P5" s="349"/>
    </row>
    <row r="6" spans="2:22" s="1" customFormat="1" ht="17.100000000000001" customHeight="1">
      <c r="B6" s="339"/>
      <c r="C6" s="339"/>
      <c r="D6" s="339"/>
      <c r="E6" s="339"/>
      <c r="F6" s="343"/>
      <c r="G6" s="344"/>
      <c r="H6" s="345"/>
      <c r="I6" s="331" t="s">
        <v>5</v>
      </c>
      <c r="J6" s="332"/>
      <c r="K6" s="333" t="s">
        <v>917</v>
      </c>
      <c r="L6" s="334"/>
      <c r="M6" s="335"/>
      <c r="N6" s="349"/>
      <c r="O6" s="349"/>
      <c r="P6" s="349"/>
    </row>
    <row r="7" spans="2:22" s="1" customFormat="1" ht="17.100000000000001" customHeight="1">
      <c r="B7" s="339"/>
      <c r="C7" s="339"/>
      <c r="D7" s="339"/>
      <c r="E7" s="339"/>
      <c r="F7" s="343"/>
      <c r="G7" s="344"/>
      <c r="H7" s="345"/>
      <c r="I7" s="331" t="s">
        <v>6</v>
      </c>
      <c r="J7" s="332"/>
      <c r="K7" s="350">
        <f ca="1">TODAY()</f>
        <v>46197</v>
      </c>
      <c r="L7" s="351"/>
      <c r="M7" s="352"/>
      <c r="N7" s="349"/>
      <c r="O7" s="349"/>
      <c r="P7" s="349"/>
    </row>
    <row r="8" spans="2:22" s="1" customFormat="1" ht="17.100000000000001" customHeight="1">
      <c r="B8" s="339"/>
      <c r="C8" s="339"/>
      <c r="D8" s="339"/>
      <c r="E8" s="339"/>
      <c r="F8" s="343"/>
      <c r="G8" s="344"/>
      <c r="H8" s="345"/>
      <c r="I8" s="331" t="s">
        <v>7</v>
      </c>
      <c r="J8" s="332"/>
      <c r="K8" s="333" t="s">
        <v>8</v>
      </c>
      <c r="L8" s="334"/>
      <c r="M8" s="335"/>
      <c r="N8" s="349"/>
      <c r="O8" s="349"/>
      <c r="P8" s="349"/>
    </row>
    <row r="9" spans="2:22" s="1" customFormat="1" ht="17.100000000000001" customHeight="1">
      <c r="B9" s="339"/>
      <c r="C9" s="339"/>
      <c r="D9" s="339"/>
      <c r="E9" s="339"/>
      <c r="F9" s="343"/>
      <c r="G9" s="344"/>
      <c r="H9" s="345"/>
      <c r="I9" s="331" t="s">
        <v>861</v>
      </c>
      <c r="J9" s="332"/>
      <c r="K9" s="333"/>
      <c r="L9" s="334"/>
      <c r="M9" s="335"/>
      <c r="N9" s="349"/>
      <c r="O9" s="349"/>
      <c r="P9" s="349"/>
    </row>
    <row r="10" spans="2:22" s="1" customFormat="1" ht="17.100000000000001" customHeight="1">
      <c r="B10" s="339"/>
      <c r="C10" s="339"/>
      <c r="D10" s="339"/>
      <c r="E10" s="339"/>
      <c r="F10" s="343"/>
      <c r="G10" s="344"/>
      <c r="H10" s="345"/>
      <c r="I10" s="331" t="s">
        <v>9</v>
      </c>
      <c r="J10" s="332"/>
      <c r="K10" s="333" t="s">
        <v>642</v>
      </c>
      <c r="L10" s="334"/>
      <c r="M10" s="335"/>
      <c r="N10" s="349"/>
      <c r="O10" s="349"/>
      <c r="P10" s="349"/>
    </row>
    <row r="11" spans="2:22" s="1" customFormat="1" ht="17.100000000000001" customHeight="1">
      <c r="B11" s="339"/>
      <c r="C11" s="339"/>
      <c r="D11" s="339"/>
      <c r="E11" s="339"/>
      <c r="F11" s="343"/>
      <c r="G11" s="344"/>
      <c r="H11" s="345"/>
      <c r="I11" s="331" t="s">
        <v>11</v>
      </c>
      <c r="J11" s="332"/>
      <c r="K11" s="333" t="s">
        <v>643</v>
      </c>
      <c r="L11" s="334"/>
      <c r="M11" s="335"/>
      <c r="N11" s="349"/>
      <c r="O11" s="349"/>
      <c r="P11" s="349"/>
    </row>
    <row r="12" spans="2:22" s="1" customFormat="1" ht="17.100000000000001" customHeight="1">
      <c r="B12" s="339"/>
      <c r="C12" s="339"/>
      <c r="D12" s="339"/>
      <c r="E12" s="339"/>
      <c r="F12" s="346"/>
      <c r="G12" s="347"/>
      <c r="H12" s="348"/>
      <c r="I12" s="331" t="s">
        <v>13</v>
      </c>
      <c r="J12" s="332"/>
      <c r="K12" s="333" t="s">
        <v>14</v>
      </c>
      <c r="L12" s="334"/>
      <c r="M12" s="335"/>
      <c r="N12" s="349"/>
      <c r="O12" s="349"/>
      <c r="P12" s="349"/>
    </row>
    <row r="13" spans="2:22" s="4" customFormat="1" ht="18">
      <c r="B13" s="354" t="s">
        <v>15</v>
      </c>
      <c r="C13" s="355"/>
      <c r="D13" s="355"/>
      <c r="E13" s="354" t="s">
        <v>16</v>
      </c>
      <c r="F13" s="355"/>
      <c r="G13" s="125" t="s">
        <v>17</v>
      </c>
      <c r="H13" s="125" t="s">
        <v>18</v>
      </c>
      <c r="I13" s="192" t="s">
        <v>19</v>
      </c>
      <c r="J13" s="192" t="s">
        <v>20</v>
      </c>
      <c r="K13" s="354" t="s">
        <v>21</v>
      </c>
      <c r="L13" s="355"/>
      <c r="M13" s="126" t="s">
        <v>22</v>
      </c>
      <c r="N13" s="126" t="s">
        <v>23</v>
      </c>
      <c r="O13" s="126" t="s">
        <v>24</v>
      </c>
      <c r="P13" s="126" t="s">
        <v>25</v>
      </c>
      <c r="R13" s="1"/>
      <c r="S13" s="1"/>
      <c r="T13" s="1"/>
      <c r="U13" s="1"/>
      <c r="V13" s="1"/>
    </row>
    <row r="14" spans="2:22" s="4" customFormat="1" ht="18">
      <c r="B14" s="329"/>
      <c r="C14" s="353"/>
      <c r="D14" s="330"/>
      <c r="E14" s="329" t="s">
        <v>551</v>
      </c>
      <c r="F14" s="330"/>
      <c r="G14" s="236"/>
      <c r="H14" s="236"/>
      <c r="I14" s="237"/>
      <c r="J14" s="237"/>
      <c r="K14" s="329"/>
      <c r="L14" s="330"/>
      <c r="M14" s="238"/>
      <c r="N14" s="238"/>
      <c r="O14" s="238"/>
      <c r="P14" s="244">
        <f>P15+P20+P29</f>
        <v>16719.939157999997</v>
      </c>
      <c r="R14" s="1"/>
      <c r="S14" s="1"/>
      <c r="T14" s="1"/>
      <c r="U14" s="1"/>
      <c r="V14" s="1"/>
    </row>
    <row r="15" spans="2:22" ht="18">
      <c r="B15" s="624" t="s">
        <v>26</v>
      </c>
      <c r="C15" s="625"/>
      <c r="D15" s="625"/>
      <c r="E15" s="293" t="s">
        <v>27</v>
      </c>
      <c r="F15" s="314"/>
      <c r="G15" s="127"/>
      <c r="H15" s="127"/>
      <c r="I15" s="193"/>
      <c r="J15" s="193" t="s">
        <v>28</v>
      </c>
      <c r="K15" s="356" t="s">
        <v>28</v>
      </c>
      <c r="L15" s="314"/>
      <c r="M15" s="194"/>
      <c r="N15" s="128"/>
      <c r="O15" s="195"/>
      <c r="P15" s="129">
        <f>P16+P18</f>
        <v>6023.8132719999994</v>
      </c>
      <c r="R15" s="1"/>
      <c r="S15" s="1"/>
      <c r="T15" s="1"/>
      <c r="U15" s="1"/>
      <c r="V15" s="1"/>
    </row>
    <row r="16" spans="2:22" ht="18">
      <c r="B16" s="265" t="s">
        <v>37</v>
      </c>
      <c r="C16" s="286"/>
      <c r="D16" s="286"/>
      <c r="E16" s="265" t="s">
        <v>38</v>
      </c>
      <c r="F16" s="286"/>
      <c r="G16" s="130"/>
      <c r="H16" s="130"/>
      <c r="I16" s="130"/>
      <c r="J16" s="196" t="s">
        <v>28</v>
      </c>
      <c r="K16" s="287" t="str">
        <f>[1]REF_TAB_PREÇOS_SANEPAR!I32</f>
        <v/>
      </c>
      <c r="L16" s="288"/>
      <c r="M16" s="116"/>
      <c r="N16" s="131"/>
      <c r="O16" s="197"/>
      <c r="P16" s="132">
        <f>SUBTOTAL(9,P17:P17)</f>
        <v>3526.0111360000001</v>
      </c>
      <c r="R16" s="1"/>
      <c r="S16" s="1"/>
      <c r="T16" s="1"/>
      <c r="U16" s="1"/>
      <c r="V16" s="1"/>
    </row>
    <row r="17" spans="2:22" ht="18">
      <c r="B17" s="282" t="s">
        <v>608</v>
      </c>
      <c r="C17" s="283"/>
      <c r="D17" s="283"/>
      <c r="E17" s="558" t="s">
        <v>609</v>
      </c>
      <c r="F17" s="563"/>
      <c r="G17" s="133" t="s">
        <v>39</v>
      </c>
      <c r="H17" s="133" t="s">
        <v>40</v>
      </c>
      <c r="I17" s="133">
        <f>Memorial!D5</f>
        <v>23</v>
      </c>
      <c r="J17" s="198" t="s">
        <v>36</v>
      </c>
      <c r="K17" s="284">
        <f>[1]REF_TAB_PREÇOS_SANEPAR!I35</f>
        <v>135.68</v>
      </c>
      <c r="L17" s="285"/>
      <c r="M17" s="199">
        <f>IF(G17="", "", IFERROR(IF(G17="Mat", BDI!C$31, IF(G17="MO", BDI!C$17)), ""))</f>
        <v>0.12989999999999999</v>
      </c>
      <c r="N17" s="134">
        <f>IF(K17="","",K17*(1+M17))</f>
        <v>153.304832</v>
      </c>
      <c r="O17" s="200">
        <f>K17*I17</f>
        <v>3120.6400000000003</v>
      </c>
      <c r="P17" s="135">
        <f>N17*I17</f>
        <v>3526.0111360000001</v>
      </c>
      <c r="R17" s="1"/>
      <c r="S17" s="1"/>
      <c r="T17" s="1"/>
      <c r="U17" s="1"/>
      <c r="V17" s="1"/>
    </row>
    <row r="18" spans="2:22" ht="18">
      <c r="B18" s="265" t="s">
        <v>43</v>
      </c>
      <c r="C18" s="286"/>
      <c r="D18" s="286"/>
      <c r="E18" s="265" t="s">
        <v>44</v>
      </c>
      <c r="F18" s="286"/>
      <c r="G18" s="130"/>
      <c r="H18" s="130"/>
      <c r="I18" s="130"/>
      <c r="J18" s="196" t="s">
        <v>28</v>
      </c>
      <c r="K18" s="287" t="str">
        <f>[1]REF_TAB_PREÇOS_SANEPAR!I37</f>
        <v/>
      </c>
      <c r="L18" s="288"/>
      <c r="M18" s="116"/>
      <c r="N18" s="131"/>
      <c r="O18" s="197"/>
      <c r="P18" s="132">
        <f>SUBTOTAL(9,P19)</f>
        <v>2497.8021359999998</v>
      </c>
      <c r="R18" s="1"/>
      <c r="S18" s="1"/>
      <c r="T18" s="1"/>
      <c r="U18" s="1"/>
      <c r="V18" s="1"/>
    </row>
    <row r="19" spans="2:22" ht="15" customHeight="1">
      <c r="B19" s="282" t="s">
        <v>45</v>
      </c>
      <c r="C19" s="283"/>
      <c r="D19" s="283"/>
      <c r="E19" s="558" t="s">
        <v>46</v>
      </c>
      <c r="F19" s="563"/>
      <c r="G19" s="133" t="s">
        <v>39</v>
      </c>
      <c r="H19" s="133" t="s">
        <v>40</v>
      </c>
      <c r="I19" s="248">
        <v>4</v>
      </c>
      <c r="J19" s="198" t="s">
        <v>30</v>
      </c>
      <c r="K19" s="284">
        <f>[1]REF_TAB_PREÇOS_SANEPAR!I38</f>
        <v>552.66</v>
      </c>
      <c r="L19" s="285"/>
      <c r="M19" s="199">
        <f>IF(G19="", "", IFERROR(IF(G19="Mat", BDI!C$31, IF(G19="MO", BDI!C$17)), ""))</f>
        <v>0.12989999999999999</v>
      </c>
      <c r="N19" s="134">
        <f>IF(K19="","",K19*(1+M19))</f>
        <v>624.45053399999995</v>
      </c>
      <c r="O19" s="200">
        <f>K19*I19</f>
        <v>2210.64</v>
      </c>
      <c r="P19" s="135">
        <f>N19*I19</f>
        <v>2497.8021359999998</v>
      </c>
      <c r="R19" s="1"/>
      <c r="S19" s="1"/>
      <c r="T19" s="1"/>
      <c r="U19" s="1"/>
      <c r="V19" s="1"/>
    </row>
    <row r="20" spans="2:22" ht="18">
      <c r="B20" s="624" t="s">
        <v>946</v>
      </c>
      <c r="C20" s="625"/>
      <c r="D20" s="625"/>
      <c r="E20" s="293" t="s">
        <v>48</v>
      </c>
      <c r="F20" s="314"/>
      <c r="G20" s="127"/>
      <c r="H20" s="127"/>
      <c r="I20" s="127"/>
      <c r="J20" s="193" t="s">
        <v>28</v>
      </c>
      <c r="K20" s="295" t="str">
        <f>[1]REF_TAB_PREÇOS_SANEPAR!I39</f>
        <v/>
      </c>
      <c r="L20" s="321"/>
      <c r="M20" s="194"/>
      <c r="N20" s="136"/>
      <c r="O20" s="201"/>
      <c r="P20" s="129">
        <f>P21+P23+P25+P27</f>
        <v>9702.1654969999963</v>
      </c>
      <c r="R20" s="1"/>
      <c r="S20" s="1"/>
      <c r="T20" s="1"/>
      <c r="U20" s="1"/>
      <c r="V20" s="1"/>
    </row>
    <row r="21" spans="2:22">
      <c r="B21" s="265" t="s">
        <v>49</v>
      </c>
      <c r="C21" s="286"/>
      <c r="D21" s="286"/>
      <c r="E21" s="265" t="s">
        <v>50</v>
      </c>
      <c r="F21" s="286"/>
      <c r="G21" s="130"/>
      <c r="H21" s="130"/>
      <c r="I21" s="130"/>
      <c r="J21" s="196" t="s">
        <v>28</v>
      </c>
      <c r="K21" s="287" t="str">
        <f>[1]REF_TAB_PREÇOS_SANEPAR!I40</f>
        <v/>
      </c>
      <c r="L21" s="288"/>
      <c r="M21" s="116"/>
      <c r="N21" s="131"/>
      <c r="O21" s="197"/>
      <c r="P21" s="132">
        <f>SUBTOTAL(9,P22:P22)</f>
        <v>86.346263999999991</v>
      </c>
    </row>
    <row r="22" spans="2:22">
      <c r="B22" s="282" t="s">
        <v>56</v>
      </c>
      <c r="C22" s="283"/>
      <c r="D22" s="283"/>
      <c r="E22" s="558" t="s">
        <v>57</v>
      </c>
      <c r="F22" s="563"/>
      <c r="G22" s="133" t="s">
        <v>29</v>
      </c>
      <c r="H22" s="133" t="s">
        <v>40</v>
      </c>
      <c r="I22" s="179">
        <f>Memorial!C10</f>
        <v>25.5</v>
      </c>
      <c r="J22" s="198" t="s">
        <v>30</v>
      </c>
      <c r="K22" s="284">
        <f>[1]REF_TAB_PREÇOS_SANEPAR!I83</f>
        <v>2.72</v>
      </c>
      <c r="L22" s="285"/>
      <c r="M22" s="199">
        <f>IF(G22="", "", IFERROR(IF(G22="Mat", BDI!C$31, IF(G22="MO", BDI!C$17)), ""))</f>
        <v>0.24490000000000001</v>
      </c>
      <c r="N22" s="134">
        <f>IF(K22="","",K22*(1+M22))</f>
        <v>3.3861279999999998</v>
      </c>
      <c r="O22" s="200">
        <f>K22*I22</f>
        <v>69.36</v>
      </c>
      <c r="P22" s="135">
        <f>N22*I22</f>
        <v>86.346263999999991</v>
      </c>
    </row>
    <row r="23" spans="2:22">
      <c r="B23" s="265" t="s">
        <v>58</v>
      </c>
      <c r="C23" s="289"/>
      <c r="D23" s="289"/>
      <c r="E23" s="265" t="s">
        <v>59</v>
      </c>
      <c r="F23" s="289"/>
      <c r="G23" s="8"/>
      <c r="H23" s="8"/>
      <c r="I23" s="8"/>
      <c r="J23" s="196" t="s">
        <v>28</v>
      </c>
      <c r="K23" s="287" t="str">
        <f>[1]REF_TAB_PREÇOS_SANEPAR!I138</f>
        <v/>
      </c>
      <c r="L23" s="290"/>
      <c r="M23" s="116" t="str">
        <f>IF(G23="", "", IFERROR(IF(G23="Mat", [1]BDI!C$31, IF(G23="MO", [1]BDI!C$17)), ""))</f>
        <v/>
      </c>
      <c r="N23" s="13"/>
      <c r="O23" s="197"/>
      <c r="P23" s="9">
        <f>SUBTOTAL(9,P24:P24)</f>
        <v>9047.6219749999982</v>
      </c>
    </row>
    <row r="24" spans="2:22">
      <c r="B24" s="282" t="s">
        <v>60</v>
      </c>
      <c r="C24" s="322"/>
      <c r="D24" s="322"/>
      <c r="E24" s="558" t="s">
        <v>61</v>
      </c>
      <c r="F24" s="559"/>
      <c r="G24" s="10" t="s">
        <v>29</v>
      </c>
      <c r="H24" s="133" t="s">
        <v>40</v>
      </c>
      <c r="I24" s="10">
        <v>25</v>
      </c>
      <c r="J24" s="198" t="s">
        <v>36</v>
      </c>
      <c r="K24" s="284">
        <f>[1]REF_TAB_PREÇOS_SANEPAR!I140</f>
        <v>290.70999999999998</v>
      </c>
      <c r="L24" s="323"/>
      <c r="M24" s="199">
        <f>IF(G24="", "", IFERROR(IF(G24="Mat", [1]BDI!C$31, IF(G24="MO", [1]BDI!C$17)), ""))</f>
        <v>0.24490000000000001</v>
      </c>
      <c r="N24" s="11">
        <f>IF(K24="","",K24*(1+M24))</f>
        <v>361.90487899999994</v>
      </c>
      <c r="O24" s="200">
        <f>K24*I24</f>
        <v>7267.7499999999991</v>
      </c>
      <c r="P24" s="12">
        <f>N24*I24</f>
        <v>9047.6219749999982</v>
      </c>
    </row>
    <row r="25" spans="2:22">
      <c r="B25" s="265" t="s">
        <v>62</v>
      </c>
      <c r="C25" s="286"/>
      <c r="D25" s="286"/>
      <c r="E25" s="265" t="s">
        <v>63</v>
      </c>
      <c r="F25" s="286"/>
      <c r="G25" s="130"/>
      <c r="H25" s="130"/>
      <c r="I25" s="130"/>
      <c r="J25" s="196" t="s">
        <v>28</v>
      </c>
      <c r="K25" s="287" t="str">
        <f>[1]REF_TAB_PREÇOS_SANEPAR!I160</f>
        <v/>
      </c>
      <c r="L25" s="288"/>
      <c r="M25" s="116"/>
      <c r="N25" s="131"/>
      <c r="O25" s="197"/>
      <c r="P25" s="132">
        <f>SUBTOTAL(9,P26:P26)</f>
        <v>376.33326999999997</v>
      </c>
    </row>
    <row r="26" spans="2:22">
      <c r="B26" s="282" t="s">
        <v>610</v>
      </c>
      <c r="C26" s="283"/>
      <c r="D26" s="283"/>
      <c r="E26" s="558" t="s">
        <v>611</v>
      </c>
      <c r="F26" s="563"/>
      <c r="G26" s="133" t="s">
        <v>29</v>
      </c>
      <c r="H26" s="133" t="s">
        <v>40</v>
      </c>
      <c r="I26" s="133">
        <v>5</v>
      </c>
      <c r="J26" s="198" t="s">
        <v>36</v>
      </c>
      <c r="K26" s="284">
        <f>[1]REF_TAB_PREÇOS_SANEPAR!I161</f>
        <v>60.46</v>
      </c>
      <c r="L26" s="285"/>
      <c r="M26" s="199">
        <f>IF(G26="", "", IFERROR(IF(G26="Mat", BDI!C$31, IF(G26="MO", BDI!C$17)), ""))</f>
        <v>0.24490000000000001</v>
      </c>
      <c r="N26" s="134">
        <f t="shared" ref="N26:N37" si="0">IF(K26="","",K26*(1+M26))</f>
        <v>75.266653999999988</v>
      </c>
      <c r="O26" s="200">
        <f t="shared" ref="O26:O37" si="1">K26*I26</f>
        <v>302.3</v>
      </c>
      <c r="P26" s="135">
        <f t="shared" ref="P26:P37" si="2">N26*I26</f>
        <v>376.33326999999997</v>
      </c>
    </row>
    <row r="27" spans="2:22">
      <c r="B27" s="265" t="s">
        <v>64</v>
      </c>
      <c r="C27" s="286"/>
      <c r="D27" s="286"/>
      <c r="E27" s="265" t="s">
        <v>65</v>
      </c>
      <c r="F27" s="286"/>
      <c r="G27" s="130"/>
      <c r="H27" s="130"/>
      <c r="I27" s="130"/>
      <c r="J27" s="196" t="s">
        <v>28</v>
      </c>
      <c r="K27" s="287" t="str">
        <f>[1]REF_TAB_PREÇOS_SANEPAR!I167</f>
        <v/>
      </c>
      <c r="L27" s="288"/>
      <c r="M27" s="116"/>
      <c r="N27" s="131"/>
      <c r="O27" s="197"/>
      <c r="P27" s="132">
        <f>SUBTOTAL(9,P28:P28)</f>
        <v>191.86398799999998</v>
      </c>
    </row>
    <row r="28" spans="2:22">
      <c r="B28" s="282" t="s">
        <v>66</v>
      </c>
      <c r="C28" s="283"/>
      <c r="D28" s="283"/>
      <c r="E28" s="558" t="s">
        <v>67</v>
      </c>
      <c r="F28" s="563"/>
      <c r="G28" s="133" t="s">
        <v>29</v>
      </c>
      <c r="H28" s="133" t="s">
        <v>40</v>
      </c>
      <c r="I28" s="133">
        <v>1</v>
      </c>
      <c r="J28" s="198" t="s">
        <v>31</v>
      </c>
      <c r="K28" s="284">
        <f>[1]REF_TAB_PREÇOS_SANEPAR!I172</f>
        <v>154.12</v>
      </c>
      <c r="L28" s="285"/>
      <c r="M28" s="199">
        <f>IF(G28="", "", IFERROR(IF(G28="Mat", BDI!C$31, IF(G28="MO", BDI!C$17)), ""))</f>
        <v>0.24490000000000001</v>
      </c>
      <c r="N28" s="134">
        <f t="shared" si="0"/>
        <v>191.86398799999998</v>
      </c>
      <c r="O28" s="200">
        <f t="shared" si="1"/>
        <v>154.12</v>
      </c>
      <c r="P28" s="135">
        <f t="shared" si="2"/>
        <v>191.86398799999998</v>
      </c>
    </row>
    <row r="29" spans="2:22">
      <c r="B29" s="624" t="s">
        <v>68</v>
      </c>
      <c r="C29" s="625"/>
      <c r="D29" s="625"/>
      <c r="E29" s="293" t="s">
        <v>69</v>
      </c>
      <c r="F29" s="314"/>
      <c r="G29" s="127"/>
      <c r="H29" s="127"/>
      <c r="I29" s="127"/>
      <c r="J29" s="193" t="s">
        <v>28</v>
      </c>
      <c r="K29" s="295" t="str">
        <f>[1]REF_TAB_PREÇOS_SANEPAR!I173</f>
        <v/>
      </c>
      <c r="L29" s="321"/>
      <c r="M29" s="194"/>
      <c r="N29" s="136"/>
      <c r="O29" s="201"/>
      <c r="P29" s="129">
        <f>P30+P32+P35</f>
        <v>993.96038899999996</v>
      </c>
    </row>
    <row r="30" spans="2:22">
      <c r="B30" s="265" t="s">
        <v>71</v>
      </c>
      <c r="C30" s="286"/>
      <c r="D30" s="286"/>
      <c r="E30" s="265" t="s">
        <v>72</v>
      </c>
      <c r="F30" s="286"/>
      <c r="G30" s="130"/>
      <c r="H30" s="130"/>
      <c r="I30" s="130"/>
      <c r="J30" s="196" t="s">
        <v>28</v>
      </c>
      <c r="K30" s="287" t="str">
        <f>[1]REF_TAB_PREÇOS_SANEPAR!I184</f>
        <v/>
      </c>
      <c r="L30" s="288"/>
      <c r="M30" s="116"/>
      <c r="N30" s="131"/>
      <c r="O30" s="197"/>
      <c r="P30" s="132">
        <f>SUBTOTAL(9,P31)</f>
        <v>37.658224999999995</v>
      </c>
    </row>
    <row r="31" spans="2:22">
      <c r="B31" s="282" t="s">
        <v>73</v>
      </c>
      <c r="C31" s="283"/>
      <c r="D31" s="283"/>
      <c r="E31" s="558" t="s">
        <v>74</v>
      </c>
      <c r="F31" s="563"/>
      <c r="G31" s="133" t="s">
        <v>29</v>
      </c>
      <c r="H31" s="133" t="s">
        <v>40</v>
      </c>
      <c r="I31" s="133">
        <v>5</v>
      </c>
      <c r="J31" s="198" t="s">
        <v>30</v>
      </c>
      <c r="K31" s="284">
        <f>[1]REF_TAB_PREÇOS_SANEPAR!I185</f>
        <v>6.05</v>
      </c>
      <c r="L31" s="285"/>
      <c r="M31" s="199">
        <f>IF(G31="", "", IFERROR(IF(G31="Mat", BDI!C$31, IF(G31="MO", BDI!C$17)), ""))</f>
        <v>0.24490000000000001</v>
      </c>
      <c r="N31" s="134">
        <f t="shared" si="0"/>
        <v>7.5316449999999993</v>
      </c>
      <c r="O31" s="200">
        <f t="shared" si="1"/>
        <v>30.25</v>
      </c>
      <c r="P31" s="135">
        <f t="shared" si="2"/>
        <v>37.658224999999995</v>
      </c>
    </row>
    <row r="32" spans="2:22">
      <c r="B32" s="265" t="s">
        <v>75</v>
      </c>
      <c r="C32" s="286"/>
      <c r="D32" s="286"/>
      <c r="E32" s="265" t="s">
        <v>76</v>
      </c>
      <c r="F32" s="286"/>
      <c r="G32" s="130"/>
      <c r="H32" s="130"/>
      <c r="I32" s="130"/>
      <c r="J32" s="196" t="s">
        <v>28</v>
      </c>
      <c r="K32" s="287" t="str">
        <f>[1]REF_TAB_PREÇOS_SANEPAR!I201</f>
        <v/>
      </c>
      <c r="L32" s="288"/>
      <c r="M32" s="116"/>
      <c r="N32" s="131"/>
      <c r="O32" s="197"/>
      <c r="P32" s="132">
        <f>SUBTOTAL(9,P33:P34)</f>
        <v>55.613677999999993</v>
      </c>
    </row>
    <row r="33" spans="2:16">
      <c r="B33" s="282" t="s">
        <v>77</v>
      </c>
      <c r="C33" s="283"/>
      <c r="D33" s="283"/>
      <c r="E33" s="558" t="s">
        <v>78</v>
      </c>
      <c r="F33" s="563"/>
      <c r="G33" s="133" t="s">
        <v>39</v>
      </c>
      <c r="H33" s="133" t="s">
        <v>40</v>
      </c>
      <c r="I33" s="133">
        <f>Memorial!D5</f>
        <v>23</v>
      </c>
      <c r="J33" s="198" t="s">
        <v>36</v>
      </c>
      <c r="K33" s="284">
        <f>[1]REF_TAB_PREÇOS_SANEPAR!I202</f>
        <v>0.3</v>
      </c>
      <c r="L33" s="285"/>
      <c r="M33" s="199">
        <f>IF(G33="", "", IFERROR(IF(G33="Mat", BDI!C$31, IF(G33="MO", BDI!C$17)), ""))</f>
        <v>0.12989999999999999</v>
      </c>
      <c r="N33" s="134">
        <f t="shared" si="0"/>
        <v>0.33896999999999994</v>
      </c>
      <c r="O33" s="200">
        <f t="shared" si="1"/>
        <v>6.8999999999999995</v>
      </c>
      <c r="P33" s="135">
        <f t="shared" si="2"/>
        <v>7.7963099999999983</v>
      </c>
    </row>
    <row r="34" spans="2:16">
      <c r="B34" s="282" t="s">
        <v>79</v>
      </c>
      <c r="C34" s="283"/>
      <c r="D34" s="283"/>
      <c r="E34" s="558" t="s">
        <v>80</v>
      </c>
      <c r="F34" s="563"/>
      <c r="G34" s="133" t="s">
        <v>39</v>
      </c>
      <c r="H34" s="133" t="s">
        <v>40</v>
      </c>
      <c r="I34" s="133">
        <f>Memorial!D5</f>
        <v>23</v>
      </c>
      <c r="J34" s="198" t="s">
        <v>36</v>
      </c>
      <c r="K34" s="284">
        <f>[1]REF_TAB_PREÇOS_SANEPAR!I205</f>
        <v>1.84</v>
      </c>
      <c r="L34" s="285"/>
      <c r="M34" s="199">
        <f>IF(G34="", "", IFERROR(IF(G34="Mat", BDI!C$31, IF(G34="MO", BDI!C$17)), ""))</f>
        <v>0.12989999999999999</v>
      </c>
      <c r="N34" s="134">
        <f t="shared" si="0"/>
        <v>2.0790159999999998</v>
      </c>
      <c r="O34" s="200">
        <f t="shared" si="1"/>
        <v>42.32</v>
      </c>
      <c r="P34" s="135">
        <f t="shared" si="2"/>
        <v>47.817367999999995</v>
      </c>
    </row>
    <row r="35" spans="2:16">
      <c r="B35" s="265" t="s">
        <v>81</v>
      </c>
      <c r="C35" s="286"/>
      <c r="D35" s="286"/>
      <c r="E35" s="265" t="s">
        <v>82</v>
      </c>
      <c r="F35" s="286"/>
      <c r="G35" s="130"/>
      <c r="H35" s="130"/>
      <c r="I35" s="130"/>
      <c r="J35" s="196" t="s">
        <v>28</v>
      </c>
      <c r="K35" s="287" t="str">
        <f>[1]REF_TAB_PREÇOS_SANEPAR!I206</f>
        <v/>
      </c>
      <c r="L35" s="288"/>
      <c r="M35" s="116"/>
      <c r="N35" s="131"/>
      <c r="O35" s="197"/>
      <c r="P35" s="132">
        <f>SUBTOTAL(9,P36:P37)</f>
        <v>900.68848600000001</v>
      </c>
    </row>
    <row r="36" spans="2:16">
      <c r="B36" s="282" t="s">
        <v>83</v>
      </c>
      <c r="C36" s="283"/>
      <c r="D36" s="283"/>
      <c r="E36" s="558" t="s">
        <v>84</v>
      </c>
      <c r="F36" s="563"/>
      <c r="G36" s="133" t="s">
        <v>39</v>
      </c>
      <c r="H36" s="133" t="s">
        <v>40</v>
      </c>
      <c r="I36" s="133">
        <v>2</v>
      </c>
      <c r="J36" s="198" t="s">
        <v>31</v>
      </c>
      <c r="K36" s="284">
        <f>[1]REF_TAB_PREÇOS_SANEPAR!I207</f>
        <v>151.33000000000001</v>
      </c>
      <c r="L36" s="285"/>
      <c r="M36" s="199">
        <f>IF(G36="", "", IFERROR(IF(G36="Mat", BDI!C$31, IF(G36="MO", BDI!C$17)), ""))</f>
        <v>0.12989999999999999</v>
      </c>
      <c r="N36" s="134">
        <f t="shared" si="0"/>
        <v>170.98776699999999</v>
      </c>
      <c r="O36" s="200">
        <f t="shared" si="1"/>
        <v>302.66000000000003</v>
      </c>
      <c r="P36" s="135">
        <f t="shared" si="2"/>
        <v>341.97553399999998</v>
      </c>
    </row>
    <row r="37" spans="2:16">
      <c r="B37" s="282" t="s">
        <v>85</v>
      </c>
      <c r="C37" s="283"/>
      <c r="D37" s="283"/>
      <c r="E37" s="558" t="s">
        <v>86</v>
      </c>
      <c r="F37" s="563"/>
      <c r="G37" s="133" t="s">
        <v>39</v>
      </c>
      <c r="H37" s="133" t="s">
        <v>40</v>
      </c>
      <c r="I37" s="133">
        <v>2</v>
      </c>
      <c r="J37" s="198" t="s">
        <v>31</v>
      </c>
      <c r="K37" s="284">
        <f>[1]REF_TAB_PREÇOS_SANEPAR!I208</f>
        <v>247.24</v>
      </c>
      <c r="L37" s="285"/>
      <c r="M37" s="199">
        <f>IF(G37="", "", IFERROR(IF(G37="Mat", BDI!C$31, IF(G37="MO", BDI!C$17)), ""))</f>
        <v>0.12989999999999999</v>
      </c>
      <c r="N37" s="134">
        <f t="shared" si="0"/>
        <v>279.35647599999999</v>
      </c>
      <c r="O37" s="200">
        <f t="shared" si="1"/>
        <v>494.48</v>
      </c>
      <c r="P37" s="135">
        <f t="shared" si="2"/>
        <v>558.71295199999997</v>
      </c>
    </row>
    <row r="38" spans="2:16">
      <c r="B38" s="326"/>
      <c r="C38" s="327"/>
      <c r="D38" s="328"/>
      <c r="E38" s="329" t="s">
        <v>855</v>
      </c>
      <c r="F38" s="330"/>
      <c r="G38" s="223"/>
      <c r="H38" s="224"/>
      <c r="I38" s="223"/>
      <c r="J38" s="225"/>
      <c r="K38" s="306"/>
      <c r="L38" s="307"/>
      <c r="M38" s="226"/>
      <c r="N38" s="227"/>
      <c r="O38" s="228"/>
      <c r="P38" s="246">
        <f>P39+P44+P57+P66+P69</f>
        <v>220648.92009596498</v>
      </c>
    </row>
    <row r="39" spans="2:16">
      <c r="B39" s="624" t="s">
        <v>87</v>
      </c>
      <c r="C39" s="625"/>
      <c r="D39" s="625"/>
      <c r="E39" s="293" t="s">
        <v>88</v>
      </c>
      <c r="F39" s="314"/>
      <c r="G39" s="127"/>
      <c r="H39" s="127"/>
      <c r="I39" s="127"/>
      <c r="J39" s="193" t="s">
        <v>28</v>
      </c>
      <c r="K39" s="295" t="str">
        <f>[1]REF_TAB_PREÇOS_SANEPAR!I249</f>
        <v/>
      </c>
      <c r="L39" s="321"/>
      <c r="M39" s="194"/>
      <c r="N39" s="136"/>
      <c r="O39" s="201"/>
      <c r="P39" s="129">
        <f>P40+P42</f>
        <v>1387.3812948</v>
      </c>
    </row>
    <row r="40" spans="2:16">
      <c r="B40" s="265" t="s">
        <v>90</v>
      </c>
      <c r="C40" s="286"/>
      <c r="D40" s="286"/>
      <c r="E40" s="265" t="s">
        <v>91</v>
      </c>
      <c r="F40" s="286"/>
      <c r="G40" s="130"/>
      <c r="H40" s="130"/>
      <c r="I40" s="130"/>
      <c r="J40" s="196" t="s">
        <v>28</v>
      </c>
      <c r="K40" s="287" t="str">
        <f>[1]REF_TAB_PREÇOS_SANEPAR!I296</f>
        <v/>
      </c>
      <c r="L40" s="288"/>
      <c r="M40" s="116"/>
      <c r="N40" s="131"/>
      <c r="O40" s="197"/>
      <c r="P40" s="132">
        <f>SUBTOTAL(9,P41:P41)</f>
        <v>874.25592299999994</v>
      </c>
    </row>
    <row r="41" spans="2:16">
      <c r="B41" s="282" t="s">
        <v>613</v>
      </c>
      <c r="C41" s="283"/>
      <c r="D41" s="283"/>
      <c r="E41" s="558" t="s">
        <v>612</v>
      </c>
      <c r="F41" s="563"/>
      <c r="G41" s="133" t="s">
        <v>29</v>
      </c>
      <c r="H41" s="133" t="s">
        <v>40</v>
      </c>
      <c r="I41" s="179">
        <f>Memorial!G6</f>
        <v>45.9</v>
      </c>
      <c r="J41" s="198" t="s">
        <v>70</v>
      </c>
      <c r="K41" s="284">
        <f>[1]REF_TAB_PREÇOS_SANEPAR!I298</f>
        <v>15.3</v>
      </c>
      <c r="L41" s="285"/>
      <c r="M41" s="199">
        <f>IF(G41="", "", IFERROR(IF(G41="Mat", BDI!C$31, IF(G41="MO", BDI!C$17)), ""))</f>
        <v>0.24490000000000001</v>
      </c>
      <c r="N41" s="134">
        <f>IF(K41="","",K41*(1+M41))</f>
        <v>19.046969999999998</v>
      </c>
      <c r="O41" s="200">
        <f>K41*I41</f>
        <v>702.27</v>
      </c>
      <c r="P41" s="135">
        <f>N41*I41</f>
        <v>874.25592299999994</v>
      </c>
    </row>
    <row r="42" spans="2:16">
      <c r="B42" s="265" t="s">
        <v>93</v>
      </c>
      <c r="C42" s="286"/>
      <c r="D42" s="286"/>
      <c r="E42" s="265" t="s">
        <v>94</v>
      </c>
      <c r="F42" s="286"/>
      <c r="G42" s="130"/>
      <c r="H42" s="130"/>
      <c r="I42" s="130"/>
      <c r="J42" s="196" t="s">
        <v>28</v>
      </c>
      <c r="K42" s="287" t="str">
        <f>[1]REF_TAB_PREÇOS_SANEPAR!I330</f>
        <v/>
      </c>
      <c r="L42" s="288"/>
      <c r="M42" s="116"/>
      <c r="N42" s="131"/>
      <c r="O42" s="197"/>
      <c r="P42" s="132">
        <f>SUBTOTAL(9,P43:P43)</f>
        <v>513.12537180000004</v>
      </c>
    </row>
    <row r="43" spans="2:16">
      <c r="B43" s="282" t="s">
        <v>95</v>
      </c>
      <c r="C43" s="283"/>
      <c r="D43" s="283"/>
      <c r="E43" s="558" t="s">
        <v>96</v>
      </c>
      <c r="F43" s="563"/>
      <c r="G43" s="133" t="s">
        <v>29</v>
      </c>
      <c r="H43" s="133" t="s">
        <v>40</v>
      </c>
      <c r="I43" s="179">
        <f>I41</f>
        <v>45.9</v>
      </c>
      <c r="J43" s="198" t="s">
        <v>70</v>
      </c>
      <c r="K43" s="284">
        <f>[1]REF_TAB_PREÇOS_SANEPAR!I331</f>
        <v>8.98</v>
      </c>
      <c r="L43" s="285"/>
      <c r="M43" s="199">
        <f>IF(G43="", "", IFERROR(IF(G43="Mat", BDI!C$31, IF(G43="MO", BDI!C$17)), ""))</f>
        <v>0.24490000000000001</v>
      </c>
      <c r="N43" s="134">
        <f>IF(K43="","",K43*(1+M43))</f>
        <v>11.179202</v>
      </c>
      <c r="O43" s="200">
        <f>K43*I43</f>
        <v>412.18200000000002</v>
      </c>
      <c r="P43" s="135">
        <f>N43*I43</f>
        <v>513.12537180000004</v>
      </c>
    </row>
    <row r="44" spans="2:16">
      <c r="B44" s="624" t="s">
        <v>947</v>
      </c>
      <c r="C44" s="625"/>
      <c r="D44" s="625"/>
      <c r="E44" s="293" t="s">
        <v>99</v>
      </c>
      <c r="F44" s="314"/>
      <c r="G44" s="127"/>
      <c r="H44" s="127"/>
      <c r="I44" s="127"/>
      <c r="J44" s="193" t="s">
        <v>28</v>
      </c>
      <c r="K44" s="295" t="str">
        <f>[1]REF_TAB_PREÇOS_SANEPAR!I444</f>
        <v/>
      </c>
      <c r="L44" s="321"/>
      <c r="M44" s="194"/>
      <c r="N44" s="136"/>
      <c r="O44" s="201"/>
      <c r="P44" s="129">
        <f>P45+P47+P49+P51+P53+P55</f>
        <v>43476.940134779994</v>
      </c>
    </row>
    <row r="45" spans="2:16">
      <c r="B45" s="265" t="s">
        <v>108</v>
      </c>
      <c r="C45" s="289"/>
      <c r="D45" s="289"/>
      <c r="E45" s="265" t="s">
        <v>109</v>
      </c>
      <c r="F45" s="289"/>
      <c r="G45" s="8"/>
      <c r="H45" s="8"/>
      <c r="I45" s="8"/>
      <c r="J45" s="196" t="s">
        <v>28</v>
      </c>
      <c r="K45" s="287" t="str">
        <f>[1]REF_TAB_PREÇOS_SANEPAR!I524</f>
        <v/>
      </c>
      <c r="L45" s="290"/>
      <c r="M45" s="116"/>
      <c r="N45" s="13"/>
      <c r="O45" s="197"/>
      <c r="P45" s="9">
        <f>SUBTOTAL(9,P46:P46)</f>
        <v>7632.4485366799991</v>
      </c>
    </row>
    <row r="46" spans="2:16">
      <c r="B46" s="282" t="s">
        <v>614</v>
      </c>
      <c r="C46" s="322"/>
      <c r="D46" s="322"/>
      <c r="E46" s="558" t="s">
        <v>615</v>
      </c>
      <c r="F46" s="559"/>
      <c r="G46" s="10" t="s">
        <v>29</v>
      </c>
      <c r="H46" s="133" t="s">
        <v>40</v>
      </c>
      <c r="I46" s="10">
        <f>Memorial!R10</f>
        <v>49.72</v>
      </c>
      <c r="J46" s="198" t="s">
        <v>30</v>
      </c>
      <c r="K46" s="284">
        <f>[1]REF_TAB_PREÇOS_SANEPAR!I530</f>
        <v>123.31</v>
      </c>
      <c r="L46" s="323"/>
      <c r="M46" s="199">
        <f>IF(G46="", "", IFERROR(IF(G46="Mat", [1]BDI!C$31, IF(G46="MO", [1]BDI!C$17)), ""))</f>
        <v>0.24490000000000001</v>
      </c>
      <c r="N46" s="11">
        <f>IF(K46="","",K46*(1+M46))</f>
        <v>153.50861899999998</v>
      </c>
      <c r="O46" s="200">
        <f>K46*I46</f>
        <v>6130.9732000000004</v>
      </c>
      <c r="P46" s="12">
        <f>N46*I46</f>
        <v>7632.4485366799991</v>
      </c>
    </row>
    <row r="47" spans="2:16">
      <c r="B47" s="265" t="s">
        <v>115</v>
      </c>
      <c r="C47" s="286"/>
      <c r="D47" s="286"/>
      <c r="E47" s="265" t="s">
        <v>116</v>
      </c>
      <c r="F47" s="286"/>
      <c r="G47" s="130"/>
      <c r="H47" s="130"/>
      <c r="I47" s="130"/>
      <c r="J47" s="196" t="s">
        <v>28</v>
      </c>
      <c r="K47" s="287" t="str">
        <f>[1]REF_TAB_PREÇOS_SANEPAR!I575</f>
        <v/>
      </c>
      <c r="L47" s="288"/>
      <c r="M47" s="116"/>
      <c r="N47" s="131" t="str">
        <f t="shared" ref="N47:N54" si="3">IF(K47="","",K47*(1+M47))</f>
        <v/>
      </c>
      <c r="O47" s="197"/>
      <c r="P47" s="132">
        <f>SUBTOTAL(9,P48:P48)</f>
        <v>15620.869754879999</v>
      </c>
    </row>
    <row r="48" spans="2:16">
      <c r="B48" s="282" t="s">
        <v>117</v>
      </c>
      <c r="C48" s="283"/>
      <c r="D48" s="283"/>
      <c r="E48" s="558" t="s">
        <v>118</v>
      </c>
      <c r="F48" s="563"/>
      <c r="G48" s="133" t="s">
        <v>29</v>
      </c>
      <c r="H48" s="133" t="s">
        <v>40</v>
      </c>
      <c r="I48" s="133">
        <f>Memorial!R11</f>
        <v>816.92</v>
      </c>
      <c r="J48" s="198" t="s">
        <v>119</v>
      </c>
      <c r="K48" s="284">
        <f>[1]REF_TAB_PREÇOS_SANEPAR!I576</f>
        <v>15.36</v>
      </c>
      <c r="L48" s="285"/>
      <c r="M48" s="199">
        <f>IF(G48="", "", IFERROR(IF(G48="Mat", [1]BDI!C$31, IF(G48="MO", [1]BDI!C$17)), ""))</f>
        <v>0.24490000000000001</v>
      </c>
      <c r="N48" s="134">
        <f t="shared" si="3"/>
        <v>19.121663999999999</v>
      </c>
      <c r="O48" s="200">
        <f t="shared" ref="O48:O54" si="4">K48*I48</f>
        <v>12547.891199999998</v>
      </c>
      <c r="P48" s="135">
        <f t="shared" ref="P48:P54" si="5">N48*I48</f>
        <v>15620.869754879999</v>
      </c>
    </row>
    <row r="49" spans="2:16">
      <c r="B49" s="265" t="s">
        <v>122</v>
      </c>
      <c r="C49" s="289"/>
      <c r="D49" s="289"/>
      <c r="E49" s="265" t="s">
        <v>123</v>
      </c>
      <c r="F49" s="289"/>
      <c r="G49" s="8"/>
      <c r="H49" s="8"/>
      <c r="I49" s="8"/>
      <c r="J49" s="196" t="s">
        <v>28</v>
      </c>
      <c r="K49" s="287" t="str">
        <f>[1]REF_TAB_PREÇOS_SANEPAR!I585</f>
        <v/>
      </c>
      <c r="L49" s="290"/>
      <c r="M49" s="116"/>
      <c r="N49" s="13"/>
      <c r="O49" s="197"/>
      <c r="P49" s="9">
        <f>SUBTOTAL(9,P50:P50)</f>
        <v>526.75354107999999</v>
      </c>
    </row>
    <row r="50" spans="2:16">
      <c r="B50" s="282" t="s">
        <v>124</v>
      </c>
      <c r="C50" s="322"/>
      <c r="D50" s="322"/>
      <c r="E50" s="558" t="s">
        <v>125</v>
      </c>
      <c r="F50" s="559"/>
      <c r="G50" s="10" t="s">
        <v>29</v>
      </c>
      <c r="H50" s="133" t="s">
        <v>40</v>
      </c>
      <c r="I50" s="10">
        <f>Memorial!R13</f>
        <v>0.52</v>
      </c>
      <c r="J50" s="198" t="s">
        <v>70</v>
      </c>
      <c r="K50" s="284">
        <f>[1]REF_TAB_PREÇOS_SANEPAR!I587</f>
        <v>813.71</v>
      </c>
      <c r="L50" s="323"/>
      <c r="M50" s="199">
        <f>IF(G50="", "", IFERROR(IF(G50="Mat", [1]BDI!C$31, IF(G50="MO", [1]BDI!C$17)), ""))</f>
        <v>0.24490000000000001</v>
      </c>
      <c r="N50" s="11">
        <f t="shared" si="3"/>
        <v>1012.987579</v>
      </c>
      <c r="O50" s="200">
        <f t="shared" si="4"/>
        <v>423.12920000000003</v>
      </c>
      <c r="P50" s="12">
        <f t="shared" si="5"/>
        <v>526.75354107999999</v>
      </c>
    </row>
    <row r="51" spans="2:16">
      <c r="B51" s="265" t="s">
        <v>126</v>
      </c>
      <c r="C51" s="286"/>
      <c r="D51" s="286"/>
      <c r="E51" s="265" t="s">
        <v>127</v>
      </c>
      <c r="F51" s="286"/>
      <c r="G51" s="130"/>
      <c r="H51" s="130"/>
      <c r="I51" s="130"/>
      <c r="J51" s="196" t="s">
        <v>28</v>
      </c>
      <c r="K51" s="287" t="str">
        <f>[1]REF_TAB_PREÇOS_SANEPAR!I594</f>
        <v/>
      </c>
      <c r="L51" s="288"/>
      <c r="M51" s="116"/>
      <c r="N51" s="131"/>
      <c r="O51" s="197"/>
      <c r="P51" s="132">
        <f>SUBTOTAL(9,P52:P52)</f>
        <v>7803.7210072499993</v>
      </c>
    </row>
    <row r="52" spans="2:16">
      <c r="B52" s="282" t="s">
        <v>616</v>
      </c>
      <c r="C52" s="283"/>
      <c r="D52" s="283"/>
      <c r="E52" s="558" t="s">
        <v>617</v>
      </c>
      <c r="F52" s="563"/>
      <c r="G52" s="133" t="s">
        <v>29</v>
      </c>
      <c r="H52" s="133" t="s">
        <v>40</v>
      </c>
      <c r="I52" s="133">
        <f>Memorial!R12</f>
        <v>9.73</v>
      </c>
      <c r="J52" s="198" t="s">
        <v>70</v>
      </c>
      <c r="K52" s="284">
        <f>[1]REF_TAB_PREÇOS_SANEPAR!I614</f>
        <v>644.25</v>
      </c>
      <c r="L52" s="285"/>
      <c r="M52" s="199">
        <f>IF(G52="", "", IFERROR(IF(G52="Mat", [1]BDI!C$31, IF(G52="MO", [1]BDI!C$17)), ""))</f>
        <v>0.24490000000000001</v>
      </c>
      <c r="N52" s="134">
        <f t="shared" si="3"/>
        <v>802.02682499999992</v>
      </c>
      <c r="O52" s="200">
        <f t="shared" si="4"/>
        <v>6268.5525000000007</v>
      </c>
      <c r="P52" s="135">
        <f t="shared" si="5"/>
        <v>7803.7210072499993</v>
      </c>
    </row>
    <row r="53" spans="2:16">
      <c r="B53" s="265" t="s">
        <v>130</v>
      </c>
      <c r="C53" s="286"/>
      <c r="D53" s="286"/>
      <c r="E53" s="265" t="s">
        <v>131</v>
      </c>
      <c r="F53" s="286"/>
      <c r="G53" s="130"/>
      <c r="H53" s="130"/>
      <c r="I53" s="130"/>
      <c r="J53" s="196" t="s">
        <v>28</v>
      </c>
      <c r="K53" s="287" t="str">
        <f>[1]REF_TAB_PREÇOS_SANEPAR!I619</f>
        <v/>
      </c>
      <c r="L53" s="288"/>
      <c r="M53" s="116"/>
      <c r="N53" s="131"/>
      <c r="O53" s="197"/>
      <c r="P53" s="132">
        <f>SUBTOTAL(9,P54)</f>
        <v>639.19651928999997</v>
      </c>
    </row>
    <row r="54" spans="2:16">
      <c r="B54" s="282" t="s">
        <v>132</v>
      </c>
      <c r="C54" s="283"/>
      <c r="D54" s="283"/>
      <c r="E54" s="558" t="s">
        <v>133</v>
      </c>
      <c r="F54" s="563"/>
      <c r="G54" s="133" t="s">
        <v>29</v>
      </c>
      <c r="H54" s="133" t="s">
        <v>40</v>
      </c>
      <c r="I54" s="179">
        <f>I52</f>
        <v>9.73</v>
      </c>
      <c r="J54" s="198" t="s">
        <v>70</v>
      </c>
      <c r="K54" s="284">
        <f>[1]REF_TAB_PREÇOS_SANEPAR!I620</f>
        <v>52.77</v>
      </c>
      <c r="L54" s="285"/>
      <c r="M54" s="199">
        <f>IF(G54="", "", IFERROR(IF(G54="Mat", [1]BDI!C$31, IF(G54="MO", [1]BDI!C$17)), ""))</f>
        <v>0.24490000000000001</v>
      </c>
      <c r="N54" s="134">
        <f t="shared" si="3"/>
        <v>65.693372999999994</v>
      </c>
      <c r="O54" s="200">
        <f t="shared" si="4"/>
        <v>513.45210000000009</v>
      </c>
      <c r="P54" s="135">
        <f t="shared" si="5"/>
        <v>639.19651928999997</v>
      </c>
    </row>
    <row r="55" spans="2:16">
      <c r="B55" s="265" t="s">
        <v>134</v>
      </c>
      <c r="C55" s="286"/>
      <c r="D55" s="286"/>
      <c r="E55" s="265" t="s">
        <v>135</v>
      </c>
      <c r="F55" s="286"/>
      <c r="G55" s="130"/>
      <c r="H55" s="130"/>
      <c r="I55" s="130"/>
      <c r="J55" s="196" t="s">
        <v>28</v>
      </c>
      <c r="K55" s="287" t="str">
        <f>[1]REF_TAB_PREÇOS_SANEPAR!I646</f>
        <v/>
      </c>
      <c r="L55" s="288"/>
      <c r="M55" s="116"/>
      <c r="N55" s="131"/>
      <c r="O55" s="197"/>
      <c r="P55" s="132">
        <f>SUBTOTAL(9,P56:P56)</f>
        <v>11253.9507756</v>
      </c>
    </row>
    <row r="56" spans="2:16">
      <c r="B56" s="282" t="s">
        <v>136</v>
      </c>
      <c r="C56" s="283"/>
      <c r="D56" s="283"/>
      <c r="E56" s="558" t="s">
        <v>137</v>
      </c>
      <c r="F56" s="563"/>
      <c r="G56" s="133" t="s">
        <v>29</v>
      </c>
      <c r="H56" s="133" t="s">
        <v>40</v>
      </c>
      <c r="I56" s="179">
        <f>Memorial!L19</f>
        <v>40.08</v>
      </c>
      <c r="J56" s="198" t="s">
        <v>30</v>
      </c>
      <c r="K56" s="284">
        <f>[1]REF_TAB_PREÇOS_SANEPAR!I648</f>
        <v>225.55</v>
      </c>
      <c r="L56" s="285"/>
      <c r="M56" s="199">
        <f>IF(G56="", "", IFERROR(IF(G56="Mat", [1]BDI!C$31, IF(G56="MO", [1]BDI!C$17)), ""))</f>
        <v>0.24490000000000001</v>
      </c>
      <c r="N56" s="134">
        <f>IF(K56="","",K56*(1+M56))</f>
        <v>280.787195</v>
      </c>
      <c r="O56" s="200">
        <f>K56*I56</f>
        <v>9040.0439999999999</v>
      </c>
      <c r="P56" s="135">
        <f>N56*I56</f>
        <v>11253.9507756</v>
      </c>
    </row>
    <row r="57" spans="2:16">
      <c r="B57" s="624" t="s">
        <v>948</v>
      </c>
      <c r="C57" s="625"/>
      <c r="D57" s="625"/>
      <c r="E57" s="293" t="s">
        <v>139</v>
      </c>
      <c r="F57" s="314"/>
      <c r="G57" s="127"/>
      <c r="H57" s="127"/>
      <c r="I57" s="127"/>
      <c r="J57" s="193" t="s">
        <v>28</v>
      </c>
      <c r="K57" s="295" t="str">
        <f>[1]REF_TAB_PREÇOS_SANEPAR!I673</f>
        <v/>
      </c>
      <c r="L57" s="321"/>
      <c r="M57" s="194"/>
      <c r="N57" s="136"/>
      <c r="O57" s="201"/>
      <c r="P57" s="129">
        <f>P58+P60+P63</f>
        <v>4902.3183508599996</v>
      </c>
    </row>
    <row r="58" spans="2:16">
      <c r="B58" s="265" t="s">
        <v>145</v>
      </c>
      <c r="C58" s="286"/>
      <c r="D58" s="286"/>
      <c r="E58" s="265" t="s">
        <v>146</v>
      </c>
      <c r="F58" s="286"/>
      <c r="G58" s="130"/>
      <c r="H58" s="130"/>
      <c r="I58" s="130"/>
      <c r="J58" s="196" t="s">
        <v>28</v>
      </c>
      <c r="K58" s="287" t="str">
        <f>[1]REF_TAB_PREÇOS_SANEPAR!I708</f>
        <v/>
      </c>
      <c r="L58" s="288"/>
      <c r="M58" s="116"/>
      <c r="N58" s="131"/>
      <c r="O58" s="197"/>
      <c r="P58" s="132">
        <f>SUBTOTAL(9,P59:P59)</f>
        <v>32.043725999999999</v>
      </c>
    </row>
    <row r="59" spans="2:16">
      <c r="B59" s="282" t="s">
        <v>147</v>
      </c>
      <c r="C59" s="322"/>
      <c r="D59" s="322"/>
      <c r="E59" s="558" t="s">
        <v>148</v>
      </c>
      <c r="F59" s="559"/>
      <c r="G59" s="10" t="s">
        <v>29</v>
      </c>
      <c r="H59" s="133" t="s">
        <v>40</v>
      </c>
      <c r="I59" s="10">
        <v>6</v>
      </c>
      <c r="J59" s="198" t="s">
        <v>36</v>
      </c>
      <c r="K59" s="284">
        <f>[1]REF_TAB_PREÇOS_SANEPAR!I720</f>
        <v>4.29</v>
      </c>
      <c r="L59" s="323"/>
      <c r="M59" s="199">
        <f>IF(G59="", "", IFERROR(IF(G59="Mat", [1]BDI!C$31, IF(G59="MO", [1]BDI!C$17)), ""))</f>
        <v>0.24490000000000001</v>
      </c>
      <c r="N59" s="11">
        <f>IF(K59="","",K59*(1+M59))</f>
        <v>5.3406209999999996</v>
      </c>
      <c r="O59" s="200">
        <f>K59*I59</f>
        <v>25.740000000000002</v>
      </c>
      <c r="P59" s="12">
        <f>N59*I59</f>
        <v>32.043725999999999</v>
      </c>
    </row>
    <row r="60" spans="2:16">
      <c r="B60" s="265" t="s">
        <v>149</v>
      </c>
      <c r="C60" s="286"/>
      <c r="D60" s="286"/>
      <c r="E60" s="265" t="s">
        <v>150</v>
      </c>
      <c r="F60" s="286"/>
      <c r="G60" s="130"/>
      <c r="H60" s="130"/>
      <c r="I60" s="130"/>
      <c r="J60" s="196" t="s">
        <v>28</v>
      </c>
      <c r="K60" s="287" t="str">
        <f>[1]REF_TAB_PREÇOS_SANEPAR!I763</f>
        <v/>
      </c>
      <c r="L60" s="288"/>
      <c r="M60" s="116"/>
      <c r="N60" s="131"/>
      <c r="O60" s="197"/>
      <c r="P60" s="137">
        <f>SUBTOTAL(9,P61:P62)</f>
        <v>40.34098449999999</v>
      </c>
    </row>
    <row r="61" spans="2:16">
      <c r="B61" s="282" t="s">
        <v>618</v>
      </c>
      <c r="C61" s="283"/>
      <c r="D61" s="283"/>
      <c r="E61" s="558" t="s">
        <v>619</v>
      </c>
      <c r="F61" s="563"/>
      <c r="G61" s="133" t="s">
        <v>29</v>
      </c>
      <c r="H61" s="133" t="s">
        <v>40</v>
      </c>
      <c r="I61" s="133">
        <f>0.5+0.7+1.2+0.7+0.9</f>
        <v>3.9999999999999996</v>
      </c>
      <c r="J61" s="198" t="s">
        <v>36</v>
      </c>
      <c r="K61" s="284">
        <f>[1]REF_TAB_PREÇOS_SANEPAR!I764</f>
        <v>7.23</v>
      </c>
      <c r="L61" s="285"/>
      <c r="M61" s="199">
        <f>IF(G61="", "", IFERROR(IF(G61="Mat", [1]BDI!C$31, IF(G61="MO", [1]BDI!C$17)), ""))</f>
        <v>0.24490000000000001</v>
      </c>
      <c r="N61" s="134">
        <f>IF(K61="","",K61*(1+M61))</f>
        <v>9.0006269999999997</v>
      </c>
      <c r="O61" s="200">
        <f>K61*I61</f>
        <v>28.919999999999998</v>
      </c>
      <c r="P61" s="135">
        <f>N61*I61</f>
        <v>36.002507999999992</v>
      </c>
    </row>
    <row r="62" spans="2:16">
      <c r="B62" s="282" t="s">
        <v>151</v>
      </c>
      <c r="C62" s="283"/>
      <c r="D62" s="283"/>
      <c r="E62" s="558" t="s">
        <v>140</v>
      </c>
      <c r="F62" s="563"/>
      <c r="G62" s="133" t="s">
        <v>29</v>
      </c>
      <c r="H62" s="133" t="s">
        <v>40</v>
      </c>
      <c r="I62" s="133">
        <f>0.25</f>
        <v>0.25</v>
      </c>
      <c r="J62" s="198" t="s">
        <v>36</v>
      </c>
      <c r="K62" s="284">
        <f>[1]REF_TAB_PREÇOS_SANEPAR!I766</f>
        <v>13.94</v>
      </c>
      <c r="L62" s="285"/>
      <c r="M62" s="199">
        <f>IF(G62="", "", IFERROR(IF(G62="Mat", [1]BDI!C$31, IF(G62="MO", [1]BDI!C$17)), ""))</f>
        <v>0.24490000000000001</v>
      </c>
      <c r="N62" s="134">
        <f>IF(K62="","",K62*(1+M62))</f>
        <v>17.353905999999998</v>
      </c>
      <c r="O62" s="200">
        <f>K62*I62</f>
        <v>3.4849999999999999</v>
      </c>
      <c r="P62" s="135">
        <f>N62*I62</f>
        <v>4.3384764999999996</v>
      </c>
    </row>
    <row r="63" spans="2:16">
      <c r="B63" s="265" t="s">
        <v>153</v>
      </c>
      <c r="C63" s="286"/>
      <c r="D63" s="286"/>
      <c r="E63" s="265" t="s">
        <v>154</v>
      </c>
      <c r="F63" s="286"/>
      <c r="G63" s="130"/>
      <c r="H63" s="130"/>
      <c r="I63" s="130"/>
      <c r="J63" s="196" t="s">
        <v>28</v>
      </c>
      <c r="K63" s="287" t="str">
        <f>[1]REF_TAB_PREÇOS_SANEPAR!I841</f>
        <v/>
      </c>
      <c r="L63" s="288"/>
      <c r="M63" s="116"/>
      <c r="N63" s="131"/>
      <c r="O63" s="197"/>
      <c r="P63" s="132">
        <f>SUBTOTAL(9,P64:P65)</f>
        <v>4829.9336403599991</v>
      </c>
    </row>
    <row r="64" spans="2:16">
      <c r="B64" s="282" t="s">
        <v>155</v>
      </c>
      <c r="C64" s="283"/>
      <c r="D64" s="283"/>
      <c r="E64" s="558" t="s">
        <v>156</v>
      </c>
      <c r="F64" s="563"/>
      <c r="G64" s="133" t="s">
        <v>29</v>
      </c>
      <c r="H64" s="133" t="s">
        <v>40</v>
      </c>
      <c r="I64" s="133">
        <v>1</v>
      </c>
      <c r="J64" s="198" t="s">
        <v>31</v>
      </c>
      <c r="K64" s="284">
        <f>[1]REF_TAB_PREÇOS_SANEPAR!I842</f>
        <v>3473.34</v>
      </c>
      <c r="L64" s="285"/>
      <c r="M64" s="199">
        <f>IF(G64="", "", IFERROR(IF(G64="Mat", [1]BDI!C$31, IF(G64="MO", [1]BDI!C$17)), ""))</f>
        <v>0.24490000000000001</v>
      </c>
      <c r="N64" s="134">
        <f>IF(K64="","",K64*(1+M64))</f>
        <v>4323.9609659999996</v>
      </c>
      <c r="O64" s="200">
        <f>K64*I64</f>
        <v>3473.34</v>
      </c>
      <c r="P64" s="135">
        <f>N64*I64</f>
        <v>4323.9609659999996</v>
      </c>
    </row>
    <row r="65" spans="2:16">
      <c r="B65" s="282" t="s">
        <v>157</v>
      </c>
      <c r="C65" s="283"/>
      <c r="D65" s="283"/>
      <c r="E65" s="558" t="s">
        <v>158</v>
      </c>
      <c r="F65" s="563"/>
      <c r="G65" s="133" t="s">
        <v>29</v>
      </c>
      <c r="H65" s="133" t="s">
        <v>40</v>
      </c>
      <c r="I65" s="133">
        <f>(0.31+2.05)-2</f>
        <v>0.35999999999999988</v>
      </c>
      <c r="J65" s="198" t="s">
        <v>36</v>
      </c>
      <c r="K65" s="284">
        <f>[1]REF_TAB_PREÇOS_SANEPAR!I843</f>
        <v>1128.99</v>
      </c>
      <c r="L65" s="285"/>
      <c r="M65" s="199">
        <f>IF(G65="", "", IFERROR(IF(G65="Mat", [1]BDI!C$31, IF(G65="MO", [1]BDI!C$17)), ""))</f>
        <v>0.24490000000000001</v>
      </c>
      <c r="N65" s="134">
        <f>IF(K65="","",K65*(1+M65))</f>
        <v>1405.4796509999999</v>
      </c>
      <c r="O65" s="200">
        <f>K65*I65</f>
        <v>406.43639999999988</v>
      </c>
      <c r="P65" s="135">
        <f>N65*I65</f>
        <v>505.97267435999976</v>
      </c>
    </row>
    <row r="66" spans="2:16">
      <c r="B66" s="624" t="s">
        <v>949</v>
      </c>
      <c r="C66" s="625"/>
      <c r="D66" s="625"/>
      <c r="E66" s="293" t="s">
        <v>160</v>
      </c>
      <c r="F66" s="314"/>
      <c r="G66" s="127"/>
      <c r="H66" s="127"/>
      <c r="I66" s="127"/>
      <c r="J66" s="193" t="s">
        <v>28</v>
      </c>
      <c r="K66" s="295" t="str">
        <f>[1]REF_TAB_PREÇOS_SANEPAR!I886</f>
        <v/>
      </c>
      <c r="L66" s="321"/>
      <c r="M66" s="194"/>
      <c r="N66" s="136"/>
      <c r="O66" s="201"/>
      <c r="P66" s="129">
        <f>P67</f>
        <v>1397.2063568250001</v>
      </c>
    </row>
    <row r="67" spans="2:16">
      <c r="B67" s="265" t="s">
        <v>162</v>
      </c>
      <c r="C67" s="289"/>
      <c r="D67" s="289"/>
      <c r="E67" s="265" t="s">
        <v>163</v>
      </c>
      <c r="F67" s="289"/>
      <c r="G67" s="8"/>
      <c r="H67" s="8"/>
      <c r="I67" s="8"/>
      <c r="J67" s="196" t="s">
        <v>28</v>
      </c>
      <c r="K67" s="287" t="str">
        <f>[1]REF_TAB_PREÇOS_SANEPAR!I911</f>
        <v/>
      </c>
      <c r="L67" s="290"/>
      <c r="M67" s="116" t="str">
        <f>IF(G67="", "", IFERROR(IF(G67="Mat", [1]BDI!C$31, IF(G67="MO", [1]BDI!C$17)), ""))</f>
        <v/>
      </c>
      <c r="N67" s="13"/>
      <c r="O67" s="197"/>
      <c r="P67" s="9">
        <f>SUBTOTAL(9,P68:P68)</f>
        <v>1397.2063568250001</v>
      </c>
    </row>
    <row r="68" spans="2:16">
      <c r="B68" s="282" t="s">
        <v>166</v>
      </c>
      <c r="C68" s="322"/>
      <c r="D68" s="322"/>
      <c r="E68" s="558" t="s">
        <v>167</v>
      </c>
      <c r="F68" s="559"/>
      <c r="G68" s="10" t="s">
        <v>29</v>
      </c>
      <c r="H68" s="133" t="s">
        <v>40</v>
      </c>
      <c r="I68" s="180">
        <f>Memorial!G12</f>
        <v>1.2750000000000001</v>
      </c>
      <c r="J68" s="198" t="s">
        <v>70</v>
      </c>
      <c r="K68" s="284">
        <f>[1]REF_TAB_PREÇOS_SANEPAR!I938</f>
        <v>880.27</v>
      </c>
      <c r="L68" s="323"/>
      <c r="M68" s="199">
        <f>IF(G68="", "", IFERROR(IF(G68="Mat", [1]BDI!C$31, IF(G68="MO", [1]BDI!C$17)), ""))</f>
        <v>0.24490000000000001</v>
      </c>
      <c r="N68" s="11">
        <f>IF(K68="","",K68*(1+M68))</f>
        <v>1095.848123</v>
      </c>
      <c r="O68" s="200">
        <f>K68*I68</f>
        <v>1122.3442500000001</v>
      </c>
      <c r="P68" s="12">
        <f>N68*I68</f>
        <v>1397.2063568250001</v>
      </c>
    </row>
    <row r="69" spans="2:16">
      <c r="B69" s="624" t="s">
        <v>950</v>
      </c>
      <c r="C69" s="625"/>
      <c r="D69" s="625"/>
      <c r="E69" s="293" t="s">
        <v>232</v>
      </c>
      <c r="F69" s="314"/>
      <c r="G69" s="127"/>
      <c r="H69" s="127"/>
      <c r="I69" s="127"/>
      <c r="J69" s="193"/>
      <c r="K69" s="319"/>
      <c r="L69" s="320"/>
      <c r="M69" s="194"/>
      <c r="N69" s="136"/>
      <c r="O69" s="201"/>
      <c r="P69" s="189">
        <f>P70+P72+P74+P77</f>
        <v>169485.07395869997</v>
      </c>
    </row>
    <row r="70" spans="2:16">
      <c r="B70" s="265" t="s">
        <v>233</v>
      </c>
      <c r="C70" s="286"/>
      <c r="D70" s="286"/>
      <c r="E70" s="265" t="s">
        <v>234</v>
      </c>
      <c r="F70" s="286"/>
      <c r="G70" s="130"/>
      <c r="H70" s="130"/>
      <c r="I70" s="130"/>
      <c r="J70" s="196" t="s">
        <v>28</v>
      </c>
      <c r="K70" s="287"/>
      <c r="L70" s="288"/>
      <c r="M70" s="116"/>
      <c r="N70" s="131"/>
      <c r="O70" s="197"/>
      <c r="P70" s="132">
        <f>SUBTOTAL(9,P71:P71)</f>
        <v>672.07171399999993</v>
      </c>
    </row>
    <row r="71" spans="2:16" ht="15" customHeight="1">
      <c r="B71" s="324" t="s">
        <v>944</v>
      </c>
      <c r="C71" s="325"/>
      <c r="D71" s="325"/>
      <c r="E71" s="607" t="s">
        <v>945</v>
      </c>
      <c r="F71" s="608"/>
      <c r="G71" s="133" t="s">
        <v>29</v>
      </c>
      <c r="H71" s="133" t="s">
        <v>40</v>
      </c>
      <c r="I71" s="133">
        <v>1</v>
      </c>
      <c r="J71" s="198" t="s">
        <v>31</v>
      </c>
      <c r="K71" s="284">
        <v>539.86</v>
      </c>
      <c r="L71" s="285"/>
      <c r="M71" s="199">
        <f>IF(G71="", "", IFERROR(IF(G71="Mat", [1]BDI!C$31, IF(G71="MO", [1]BDI!C$17)), ""))</f>
        <v>0.24490000000000001</v>
      </c>
      <c r="N71" s="134">
        <f>IF(K71="","",K71*(1+M71))</f>
        <v>672.07171399999993</v>
      </c>
      <c r="O71" s="200">
        <f>K71*I71</f>
        <v>539.86</v>
      </c>
      <c r="P71" s="135">
        <f>N71*I71</f>
        <v>672.07171399999993</v>
      </c>
    </row>
    <row r="72" spans="2:16">
      <c r="B72" s="265" t="s">
        <v>241</v>
      </c>
      <c r="C72" s="286"/>
      <c r="D72" s="286"/>
      <c r="E72" s="265" t="s">
        <v>242</v>
      </c>
      <c r="F72" s="286"/>
      <c r="G72" s="130"/>
      <c r="H72" s="130"/>
      <c r="I72" s="130"/>
      <c r="J72" s="196" t="s">
        <v>28</v>
      </c>
      <c r="K72" s="287" t="s">
        <v>28</v>
      </c>
      <c r="L72" s="288"/>
      <c r="M72" s="116"/>
      <c r="N72" s="131"/>
      <c r="O72" s="197"/>
      <c r="P72" s="132">
        <f>SUBTOTAL(9,P73:P73)</f>
        <v>112.99957299999998</v>
      </c>
    </row>
    <row r="73" spans="2:16">
      <c r="B73" s="282" t="s">
        <v>626</v>
      </c>
      <c r="C73" s="322"/>
      <c r="D73" s="322"/>
      <c r="E73" s="558" t="s">
        <v>627</v>
      </c>
      <c r="F73" s="559"/>
      <c r="G73" s="10" t="s">
        <v>29</v>
      </c>
      <c r="H73" s="133" t="s">
        <v>40</v>
      </c>
      <c r="I73" s="10">
        <v>1</v>
      </c>
      <c r="J73" s="198" t="s">
        <v>31</v>
      </c>
      <c r="K73" s="284">
        <v>90.77</v>
      </c>
      <c r="L73" s="323"/>
      <c r="M73" s="199">
        <f>IF(G73="", "", IFERROR(IF(G73="Mat", [1]BDI!C$31, IF(G73="MO", [1]BDI!C$17)), ""))</f>
        <v>0.24490000000000001</v>
      </c>
      <c r="N73" s="11">
        <f>IF(K73="","",K73*(1+M73))</f>
        <v>112.99957299999998</v>
      </c>
      <c r="O73" s="200">
        <f>K73*I73</f>
        <v>90.77</v>
      </c>
      <c r="P73" s="12">
        <f>N73*I73</f>
        <v>112.99957299999998</v>
      </c>
    </row>
    <row r="74" spans="2:16">
      <c r="B74" s="265" t="s">
        <v>259</v>
      </c>
      <c r="C74" s="286"/>
      <c r="D74" s="286"/>
      <c r="E74" s="265" t="s">
        <v>260</v>
      </c>
      <c r="F74" s="286"/>
      <c r="G74" s="130"/>
      <c r="H74" s="130"/>
      <c r="I74" s="130"/>
      <c r="J74" s="196" t="s">
        <v>28</v>
      </c>
      <c r="K74" s="287" t="s">
        <v>28</v>
      </c>
      <c r="L74" s="288"/>
      <c r="M74" s="116"/>
      <c r="N74" s="131"/>
      <c r="O74" s="197"/>
      <c r="P74" s="132">
        <f>SUBTOTAL(9,P75:P76)</f>
        <v>1444.1337959999998</v>
      </c>
    </row>
    <row r="75" spans="2:16">
      <c r="B75" s="282" t="s">
        <v>628</v>
      </c>
      <c r="C75" s="283"/>
      <c r="D75" s="283"/>
      <c r="E75" s="558" t="s">
        <v>629</v>
      </c>
      <c r="F75" s="563"/>
      <c r="G75" s="133" t="s">
        <v>29</v>
      </c>
      <c r="H75" s="133" t="s">
        <v>40</v>
      </c>
      <c r="I75" s="133">
        <v>9</v>
      </c>
      <c r="J75" s="198" t="s">
        <v>31</v>
      </c>
      <c r="K75" s="284">
        <v>113.73</v>
      </c>
      <c r="L75" s="285"/>
      <c r="M75" s="199">
        <f>IF(G75="", "", IFERROR(IF(G75="Mat", BDI!C$31, IF(G75="MO", BDI!C$17)), ""))</f>
        <v>0.24490000000000001</v>
      </c>
      <c r="N75" s="134">
        <f>IF(K75="","",K75*(1+M75))</f>
        <v>141.58247699999998</v>
      </c>
      <c r="O75" s="200">
        <f>K75*I75</f>
        <v>1023.57</v>
      </c>
      <c r="P75" s="135">
        <f>N75*I75</f>
        <v>1274.2422929999998</v>
      </c>
    </row>
    <row r="76" spans="2:16">
      <c r="B76" s="282" t="s">
        <v>261</v>
      </c>
      <c r="C76" s="283"/>
      <c r="D76" s="283"/>
      <c r="E76" s="558" t="s">
        <v>262</v>
      </c>
      <c r="F76" s="563"/>
      <c r="G76" s="133" t="s">
        <v>29</v>
      </c>
      <c r="H76" s="133" t="s">
        <v>40</v>
      </c>
      <c r="I76" s="133">
        <v>1</v>
      </c>
      <c r="J76" s="198" t="s">
        <v>31</v>
      </c>
      <c r="K76" s="284">
        <v>136.47</v>
      </c>
      <c r="L76" s="285"/>
      <c r="M76" s="199">
        <f>IF(G76="", "", IFERROR(IF(G76="Mat", BDI!C$31, IF(G76="MO", BDI!C$17)), ""))</f>
        <v>0.24490000000000001</v>
      </c>
      <c r="N76" s="134">
        <f>IF(K76="","",K76*(1+M76))</f>
        <v>169.89150299999997</v>
      </c>
      <c r="O76" s="200">
        <f>K76*I76</f>
        <v>136.47</v>
      </c>
      <c r="P76" s="135">
        <f>N76*I76</f>
        <v>169.89150299999997</v>
      </c>
    </row>
    <row r="77" spans="2:16">
      <c r="B77" s="265" t="s">
        <v>265</v>
      </c>
      <c r="C77" s="289"/>
      <c r="D77" s="289"/>
      <c r="E77" s="265" t="s">
        <v>943</v>
      </c>
      <c r="F77" s="289"/>
      <c r="G77" s="8"/>
      <c r="H77" s="8"/>
      <c r="I77" s="8"/>
      <c r="J77" s="196" t="s">
        <v>28</v>
      </c>
      <c r="K77" s="287" t="s">
        <v>28</v>
      </c>
      <c r="L77" s="290"/>
      <c r="M77" s="117" t="str">
        <f>IF(G77="", "", IFERROR(IF(G77="Mat", BDI!C$31, IF(G77="MO", BDI!C$17)), ""))</f>
        <v/>
      </c>
      <c r="N77" s="13"/>
      <c r="O77" s="197"/>
      <c r="P77" s="9">
        <f>SUM(P78:P105)</f>
        <v>167255.86887569996</v>
      </c>
    </row>
    <row r="78" spans="2:16">
      <c r="B78" s="258" t="s">
        <v>866</v>
      </c>
      <c r="C78" s="258"/>
      <c r="D78" s="258"/>
      <c r="E78" s="560" t="s">
        <v>878</v>
      </c>
      <c r="F78" s="560"/>
      <c r="G78" s="204" t="s">
        <v>39</v>
      </c>
      <c r="H78" s="205" t="s">
        <v>308</v>
      </c>
      <c r="I78" s="133">
        <v>1</v>
      </c>
      <c r="J78" s="206" t="s">
        <v>31</v>
      </c>
      <c r="K78" s="279">
        <v>135.02000000000001</v>
      </c>
      <c r="L78" s="279"/>
      <c r="M78" s="199">
        <f>IF(G78="", "", IFERROR(IF(G78="Mat", [3]BDI!C$31, IF(G78="MO", [3]BDI!C$17)), ""))</f>
        <v>0.12989999999999999</v>
      </c>
      <c r="N78" s="134">
        <f t="shared" ref="N78:N104" si="6">IF(K78="","",K78*(1+M78))</f>
        <v>152.55909800000001</v>
      </c>
      <c r="O78" s="207">
        <f t="shared" ref="O78:O104" si="7">K78*I78</f>
        <v>135.02000000000001</v>
      </c>
      <c r="P78" s="208">
        <f t="shared" ref="P78:P104" si="8">N78*I78</f>
        <v>152.55909800000001</v>
      </c>
    </row>
    <row r="79" spans="2:16">
      <c r="B79" s="303">
        <f t="shared" ref="B79:B103" si="9">B78+1</f>
        <v>19002</v>
      </c>
      <c r="C79" s="304"/>
      <c r="D79" s="305"/>
      <c r="E79" s="560" t="s">
        <v>757</v>
      </c>
      <c r="F79" s="560"/>
      <c r="G79" s="204" t="s">
        <v>39</v>
      </c>
      <c r="H79" s="205" t="s">
        <v>308</v>
      </c>
      <c r="I79" s="133">
        <v>1</v>
      </c>
      <c r="J79" s="206" t="s">
        <v>31</v>
      </c>
      <c r="K79" s="279">
        <v>314.58900000000006</v>
      </c>
      <c r="L79" s="279"/>
      <c r="M79" s="199">
        <f>IF(G79="", "", IFERROR(IF(G79="Mat", [3]BDI!C$31, IF(G79="MO", [3]BDI!C$17)), ""))</f>
        <v>0.12989999999999999</v>
      </c>
      <c r="N79" s="134">
        <f t="shared" si="6"/>
        <v>355.45411110000003</v>
      </c>
      <c r="O79" s="207">
        <f t="shared" si="7"/>
        <v>314.58900000000006</v>
      </c>
      <c r="P79" s="208">
        <f t="shared" si="8"/>
        <v>355.45411110000003</v>
      </c>
    </row>
    <row r="80" spans="2:16">
      <c r="B80" s="303">
        <f t="shared" si="9"/>
        <v>19003</v>
      </c>
      <c r="C80" s="304"/>
      <c r="D80" s="305"/>
      <c r="E80" s="560" t="s">
        <v>758</v>
      </c>
      <c r="F80" s="560"/>
      <c r="G80" s="204" t="s">
        <v>39</v>
      </c>
      <c r="H80" s="205" t="s">
        <v>308</v>
      </c>
      <c r="I80" s="133">
        <v>1</v>
      </c>
      <c r="J80" s="206" t="s">
        <v>31</v>
      </c>
      <c r="K80" s="279">
        <v>712.96</v>
      </c>
      <c r="L80" s="279"/>
      <c r="M80" s="199">
        <f>IF(G80="", "", IFERROR(IF(G80="Mat", [3]BDI!C$31, IF(G80="MO", [3]BDI!C$17)), ""))</f>
        <v>0.12989999999999999</v>
      </c>
      <c r="N80" s="134">
        <f t="shared" si="6"/>
        <v>805.57350399999996</v>
      </c>
      <c r="O80" s="207">
        <f t="shared" si="7"/>
        <v>712.96</v>
      </c>
      <c r="P80" s="208">
        <f t="shared" si="8"/>
        <v>805.57350399999996</v>
      </c>
    </row>
    <row r="81" spans="2:16">
      <c r="B81" s="303">
        <f t="shared" si="9"/>
        <v>19004</v>
      </c>
      <c r="C81" s="304"/>
      <c r="D81" s="305"/>
      <c r="E81" s="560" t="s">
        <v>919</v>
      </c>
      <c r="F81" s="560"/>
      <c r="G81" s="204" t="s">
        <v>39</v>
      </c>
      <c r="H81" s="205" t="s">
        <v>308</v>
      </c>
      <c r="I81" s="133">
        <v>1</v>
      </c>
      <c r="J81" s="206" t="s">
        <v>767</v>
      </c>
      <c r="K81" s="279">
        <v>118259.86</v>
      </c>
      <c r="L81" s="279"/>
      <c r="M81" s="199">
        <f>IF(G81="", "", IFERROR(IF(G81="Mat", [3]BDI!C$31, IF(G81="MO", [3]BDI!C$17)), ""))</f>
        <v>0.12989999999999999</v>
      </c>
      <c r="N81" s="134">
        <f t="shared" si="6"/>
        <v>133621.815814</v>
      </c>
      <c r="O81" s="207">
        <f t="shared" si="7"/>
        <v>118259.86</v>
      </c>
      <c r="P81" s="208">
        <f t="shared" si="8"/>
        <v>133621.815814</v>
      </c>
    </row>
    <row r="82" spans="2:16">
      <c r="B82" s="303">
        <f t="shared" si="9"/>
        <v>19005</v>
      </c>
      <c r="C82" s="304"/>
      <c r="D82" s="305"/>
      <c r="E82" s="560" t="s">
        <v>759</v>
      </c>
      <c r="F82" s="560"/>
      <c r="G82" s="204" t="s">
        <v>39</v>
      </c>
      <c r="H82" s="205" t="s">
        <v>308</v>
      </c>
      <c r="I82" s="133">
        <v>1</v>
      </c>
      <c r="J82" s="206" t="s">
        <v>31</v>
      </c>
      <c r="K82" s="279">
        <v>666.2</v>
      </c>
      <c r="L82" s="279"/>
      <c r="M82" s="199">
        <f>IF(G82="", "", IFERROR(IF(G82="Mat", [3]BDI!C$31, IF(G82="MO", [3]BDI!C$17)), ""))</f>
        <v>0.12989999999999999</v>
      </c>
      <c r="N82" s="134">
        <f t="shared" si="6"/>
        <v>752.73937999999998</v>
      </c>
      <c r="O82" s="207">
        <f t="shared" si="7"/>
        <v>666.2</v>
      </c>
      <c r="P82" s="208">
        <f t="shared" si="8"/>
        <v>752.73937999999998</v>
      </c>
    </row>
    <row r="83" spans="2:16">
      <c r="B83" s="303">
        <f t="shared" si="9"/>
        <v>19006</v>
      </c>
      <c r="C83" s="304"/>
      <c r="D83" s="305"/>
      <c r="E83" s="560" t="s">
        <v>760</v>
      </c>
      <c r="F83" s="560"/>
      <c r="G83" s="204" t="s">
        <v>39</v>
      </c>
      <c r="H83" s="205" t="s">
        <v>308</v>
      </c>
      <c r="I83" s="133">
        <v>1</v>
      </c>
      <c r="J83" s="206" t="s">
        <v>31</v>
      </c>
      <c r="K83" s="279">
        <v>13838.000000000002</v>
      </c>
      <c r="L83" s="279"/>
      <c r="M83" s="199">
        <f>IF(G83="", "", IFERROR(IF(G83="Mat", [3]BDI!C$31, IF(G83="MO", [3]BDI!C$17)), ""))</f>
        <v>0.12989999999999999</v>
      </c>
      <c r="N83" s="134">
        <f t="shared" si="6"/>
        <v>15635.556200000001</v>
      </c>
      <c r="O83" s="207">
        <f t="shared" si="7"/>
        <v>13838.000000000002</v>
      </c>
      <c r="P83" s="208">
        <f t="shared" si="8"/>
        <v>15635.556200000001</v>
      </c>
    </row>
    <row r="84" spans="2:16">
      <c r="B84" s="303">
        <f t="shared" si="9"/>
        <v>19007</v>
      </c>
      <c r="C84" s="304"/>
      <c r="D84" s="305"/>
      <c r="E84" s="560" t="s">
        <v>920</v>
      </c>
      <c r="F84" s="560"/>
      <c r="G84" s="204" t="s">
        <v>39</v>
      </c>
      <c r="H84" s="205" t="s">
        <v>308</v>
      </c>
      <c r="I84" s="133">
        <v>1</v>
      </c>
      <c r="J84" s="206" t="s">
        <v>31</v>
      </c>
      <c r="K84" s="279">
        <v>579.82000000000005</v>
      </c>
      <c r="L84" s="279"/>
      <c r="M84" s="199">
        <f>IF(G84="", "", IFERROR(IF(G84="Mat", [3]BDI!C$31, IF(G84="MO", [3]BDI!C$17)), ""))</f>
        <v>0.12989999999999999</v>
      </c>
      <c r="N84" s="134">
        <f t="shared" si="6"/>
        <v>655.13861799999995</v>
      </c>
      <c r="O84" s="207">
        <f t="shared" si="7"/>
        <v>579.82000000000005</v>
      </c>
      <c r="P84" s="208">
        <f t="shared" si="8"/>
        <v>655.13861799999995</v>
      </c>
    </row>
    <row r="85" spans="2:16">
      <c r="B85" s="303">
        <f t="shared" si="9"/>
        <v>19008</v>
      </c>
      <c r="C85" s="304"/>
      <c r="D85" s="305"/>
      <c r="E85" s="560" t="s">
        <v>921</v>
      </c>
      <c r="F85" s="560"/>
      <c r="G85" s="204" t="s">
        <v>39</v>
      </c>
      <c r="H85" s="205" t="s">
        <v>308</v>
      </c>
      <c r="I85" s="133">
        <v>1</v>
      </c>
      <c r="J85" s="206" t="s">
        <v>31</v>
      </c>
      <c r="K85" s="279">
        <v>1679.95</v>
      </c>
      <c r="L85" s="279"/>
      <c r="M85" s="199">
        <f>IF(G85="", "", IFERROR(IF(G85="Mat", [3]BDI!C$31, IF(G85="MO", [3]BDI!C$17)), ""))</f>
        <v>0.12989999999999999</v>
      </c>
      <c r="N85" s="134">
        <f t="shared" si="6"/>
        <v>1898.1755049999999</v>
      </c>
      <c r="O85" s="207">
        <f t="shared" si="7"/>
        <v>1679.95</v>
      </c>
      <c r="P85" s="208">
        <f t="shared" si="8"/>
        <v>1898.1755049999999</v>
      </c>
    </row>
    <row r="86" spans="2:16">
      <c r="B86" s="303">
        <f t="shared" si="9"/>
        <v>19009</v>
      </c>
      <c r="C86" s="304"/>
      <c r="D86" s="305"/>
      <c r="E86" s="560" t="s">
        <v>761</v>
      </c>
      <c r="F86" s="560"/>
      <c r="G86" s="204" t="s">
        <v>39</v>
      </c>
      <c r="H86" s="205" t="s">
        <v>308</v>
      </c>
      <c r="I86" s="133">
        <v>1</v>
      </c>
      <c r="J86" s="206" t="s">
        <v>31</v>
      </c>
      <c r="K86" s="279">
        <v>110.69</v>
      </c>
      <c r="L86" s="279"/>
      <c r="M86" s="199">
        <f>IF(G86="", "", IFERROR(IF(G86="Mat", [3]BDI!C$31, IF(G86="MO", [3]BDI!C$17)), ""))</f>
        <v>0.12989999999999999</v>
      </c>
      <c r="N86" s="134">
        <f t="shared" si="6"/>
        <v>125.06863099999998</v>
      </c>
      <c r="O86" s="207">
        <f t="shared" si="7"/>
        <v>110.69</v>
      </c>
      <c r="P86" s="208">
        <f t="shared" si="8"/>
        <v>125.06863099999998</v>
      </c>
    </row>
    <row r="87" spans="2:16">
      <c r="B87" s="303">
        <f t="shared" si="9"/>
        <v>19010</v>
      </c>
      <c r="C87" s="304"/>
      <c r="D87" s="305"/>
      <c r="E87" s="560" t="s">
        <v>867</v>
      </c>
      <c r="F87" s="560"/>
      <c r="G87" s="204" t="s">
        <v>39</v>
      </c>
      <c r="H87" s="205" t="s">
        <v>308</v>
      </c>
      <c r="I87" s="133">
        <v>1</v>
      </c>
      <c r="J87" s="206" t="s">
        <v>31</v>
      </c>
      <c r="K87" s="279">
        <v>1917</v>
      </c>
      <c r="L87" s="279"/>
      <c r="M87" s="199">
        <f>IF(G87="", "", IFERROR(IF(G87="Mat", [3]BDI!C$31, IF(G87="MO", [3]BDI!C$17)), ""))</f>
        <v>0.12989999999999999</v>
      </c>
      <c r="N87" s="134">
        <f t="shared" si="6"/>
        <v>2166.0182999999997</v>
      </c>
      <c r="O87" s="207">
        <f t="shared" si="7"/>
        <v>1917</v>
      </c>
      <c r="P87" s="208">
        <f t="shared" si="8"/>
        <v>2166.0182999999997</v>
      </c>
    </row>
    <row r="88" spans="2:16">
      <c r="B88" s="303">
        <f t="shared" si="9"/>
        <v>19011</v>
      </c>
      <c r="C88" s="304"/>
      <c r="D88" s="305"/>
      <c r="E88" s="560" t="s">
        <v>922</v>
      </c>
      <c r="F88" s="560"/>
      <c r="G88" s="204" t="s">
        <v>39</v>
      </c>
      <c r="H88" s="205" t="s">
        <v>308</v>
      </c>
      <c r="I88" s="133">
        <v>1</v>
      </c>
      <c r="J88" s="206" t="s">
        <v>31</v>
      </c>
      <c r="K88" s="279">
        <v>997.55</v>
      </c>
      <c r="L88" s="279"/>
      <c r="M88" s="199">
        <f>IF(G88="", "", IFERROR(IF(G88="Mat", [3]BDI!C$31, IF(G88="MO", [3]BDI!C$17)), ""))</f>
        <v>0.12989999999999999</v>
      </c>
      <c r="N88" s="134">
        <f t="shared" si="6"/>
        <v>1127.1317449999999</v>
      </c>
      <c r="O88" s="207">
        <f t="shared" si="7"/>
        <v>997.55</v>
      </c>
      <c r="P88" s="208">
        <f t="shared" si="8"/>
        <v>1127.1317449999999</v>
      </c>
    </row>
    <row r="89" spans="2:16">
      <c r="B89" s="303">
        <f t="shared" si="9"/>
        <v>19012</v>
      </c>
      <c r="C89" s="304"/>
      <c r="D89" s="305"/>
      <c r="E89" s="560" t="s">
        <v>875</v>
      </c>
      <c r="F89" s="560"/>
      <c r="G89" s="204" t="s">
        <v>39</v>
      </c>
      <c r="H89" s="205" t="s">
        <v>308</v>
      </c>
      <c r="I89" s="133">
        <v>1</v>
      </c>
      <c r="J89" s="206" t="s">
        <v>31</v>
      </c>
      <c r="K89" s="279">
        <v>1679.95</v>
      </c>
      <c r="L89" s="279"/>
      <c r="M89" s="199">
        <f>IF(G89="", "", IFERROR(IF(G89="Mat", [3]BDI!C$31, IF(G89="MO", [3]BDI!C$17)), ""))</f>
        <v>0.12989999999999999</v>
      </c>
      <c r="N89" s="134">
        <f t="shared" si="6"/>
        <v>1898.1755049999999</v>
      </c>
      <c r="O89" s="207">
        <f t="shared" si="7"/>
        <v>1679.95</v>
      </c>
      <c r="P89" s="208">
        <f t="shared" si="8"/>
        <v>1898.1755049999999</v>
      </c>
    </row>
    <row r="90" spans="2:16">
      <c r="B90" s="303">
        <f t="shared" si="9"/>
        <v>19013</v>
      </c>
      <c r="C90" s="304"/>
      <c r="D90" s="305"/>
      <c r="E90" s="560" t="s">
        <v>923</v>
      </c>
      <c r="F90" s="560"/>
      <c r="G90" s="204" t="s">
        <v>39</v>
      </c>
      <c r="H90" s="205" t="s">
        <v>308</v>
      </c>
      <c r="I90" s="133">
        <v>1</v>
      </c>
      <c r="J90" s="206" t="s">
        <v>31</v>
      </c>
      <c r="K90" s="279">
        <v>655.91</v>
      </c>
      <c r="L90" s="279"/>
      <c r="M90" s="199">
        <f>IF(G90="", "", IFERROR(IF(G90="Mat", [3]BDI!C$31, IF(G90="MO", [3]BDI!C$17)), ""))</f>
        <v>0.12989999999999999</v>
      </c>
      <c r="N90" s="134">
        <f t="shared" si="6"/>
        <v>741.11270899999988</v>
      </c>
      <c r="O90" s="207">
        <f t="shared" si="7"/>
        <v>655.91</v>
      </c>
      <c r="P90" s="208">
        <f t="shared" si="8"/>
        <v>741.11270899999988</v>
      </c>
    </row>
    <row r="91" spans="2:16">
      <c r="B91" s="303">
        <f t="shared" si="9"/>
        <v>19014</v>
      </c>
      <c r="C91" s="304"/>
      <c r="D91" s="305"/>
      <c r="E91" s="560" t="s">
        <v>924</v>
      </c>
      <c r="F91" s="560"/>
      <c r="G91" s="204" t="s">
        <v>39</v>
      </c>
      <c r="H91" s="205" t="s">
        <v>308</v>
      </c>
      <c r="I91" s="133">
        <v>1</v>
      </c>
      <c r="J91" s="206" t="s">
        <v>31</v>
      </c>
      <c r="K91" s="279">
        <v>733.85</v>
      </c>
      <c r="L91" s="279"/>
      <c r="M91" s="199">
        <f>IF(G91="", "", IFERROR(IF(G91="Mat", [3]BDI!C$31, IF(G91="MO", [3]BDI!C$17)), ""))</f>
        <v>0.12989999999999999</v>
      </c>
      <c r="N91" s="134">
        <f t="shared" si="6"/>
        <v>829.17711499999996</v>
      </c>
      <c r="O91" s="207">
        <f t="shared" si="7"/>
        <v>733.85</v>
      </c>
      <c r="P91" s="208">
        <f t="shared" si="8"/>
        <v>829.17711499999996</v>
      </c>
    </row>
    <row r="92" spans="2:16">
      <c r="B92" s="303">
        <f>B91+1</f>
        <v>19015</v>
      </c>
      <c r="C92" s="304"/>
      <c r="D92" s="305"/>
      <c r="E92" s="609" t="s">
        <v>925</v>
      </c>
      <c r="F92" s="610"/>
      <c r="G92" s="204" t="s">
        <v>39</v>
      </c>
      <c r="H92" s="205" t="s">
        <v>308</v>
      </c>
      <c r="I92" s="133">
        <v>1</v>
      </c>
      <c r="J92" s="206" t="s">
        <v>31</v>
      </c>
      <c r="K92" s="271">
        <v>618.39</v>
      </c>
      <c r="L92" s="272"/>
      <c r="M92" s="199">
        <f>IF(G92="", "", IFERROR(IF(G92="Mat", [3]BDI!C$31, IF(G92="MO", [3]BDI!C$17)), ""))</f>
        <v>0.12989999999999999</v>
      </c>
      <c r="N92" s="134">
        <f t="shared" si="6"/>
        <v>698.71886099999995</v>
      </c>
      <c r="O92" s="207">
        <f t="shared" si="7"/>
        <v>618.39</v>
      </c>
      <c r="P92" s="208">
        <f t="shared" si="8"/>
        <v>698.71886099999995</v>
      </c>
    </row>
    <row r="93" spans="2:16">
      <c r="B93" s="303">
        <f t="shared" si="9"/>
        <v>19016</v>
      </c>
      <c r="C93" s="304"/>
      <c r="D93" s="305"/>
      <c r="E93" s="560" t="s">
        <v>762</v>
      </c>
      <c r="F93" s="560"/>
      <c r="G93" s="204" t="s">
        <v>39</v>
      </c>
      <c r="H93" s="205" t="s">
        <v>308</v>
      </c>
      <c r="I93" s="133">
        <v>1</v>
      </c>
      <c r="J93" s="206" t="s">
        <v>31</v>
      </c>
      <c r="K93" s="279">
        <v>112.86</v>
      </c>
      <c r="L93" s="279"/>
      <c r="M93" s="199">
        <f>IF(G93="", "", IFERROR(IF(G93="Mat", [3]BDI!C$31, IF(G93="MO", [3]BDI!C$17)), ""))</f>
        <v>0.12989999999999999</v>
      </c>
      <c r="N93" s="134">
        <f t="shared" si="6"/>
        <v>127.52051399999999</v>
      </c>
      <c r="O93" s="207">
        <f t="shared" si="7"/>
        <v>112.86</v>
      </c>
      <c r="P93" s="208">
        <f t="shared" si="8"/>
        <v>127.52051399999999</v>
      </c>
    </row>
    <row r="94" spans="2:16">
      <c r="B94" s="303">
        <f t="shared" si="9"/>
        <v>19017</v>
      </c>
      <c r="C94" s="304"/>
      <c r="D94" s="305"/>
      <c r="E94" s="560" t="s">
        <v>763</v>
      </c>
      <c r="F94" s="560"/>
      <c r="G94" s="204" t="s">
        <v>39</v>
      </c>
      <c r="H94" s="205" t="s">
        <v>308</v>
      </c>
      <c r="I94" s="133">
        <v>1</v>
      </c>
      <c r="J94" s="206" t="s">
        <v>31</v>
      </c>
      <c r="K94" s="279">
        <v>731.15900000000011</v>
      </c>
      <c r="L94" s="279"/>
      <c r="M94" s="199">
        <f>IF(G94="", "", IFERROR(IF(G94="Mat", [3]BDI!C$31, IF(G94="MO", [3]BDI!C$17)), ""))</f>
        <v>0.12989999999999999</v>
      </c>
      <c r="N94" s="134">
        <f t="shared" si="6"/>
        <v>826.13655410000001</v>
      </c>
      <c r="O94" s="207">
        <f t="shared" si="7"/>
        <v>731.15900000000011</v>
      </c>
      <c r="P94" s="208">
        <f t="shared" si="8"/>
        <v>826.13655410000001</v>
      </c>
    </row>
    <row r="95" spans="2:16">
      <c r="B95" s="303">
        <f t="shared" si="9"/>
        <v>19018</v>
      </c>
      <c r="C95" s="304"/>
      <c r="D95" s="305"/>
      <c r="E95" s="560" t="s">
        <v>764</v>
      </c>
      <c r="F95" s="560"/>
      <c r="G95" s="204" t="s">
        <v>39</v>
      </c>
      <c r="H95" s="205" t="s">
        <v>308</v>
      </c>
      <c r="I95" s="133">
        <v>1</v>
      </c>
      <c r="J95" s="206" t="s">
        <v>31</v>
      </c>
      <c r="K95" s="279">
        <v>503.08500000000009</v>
      </c>
      <c r="L95" s="279"/>
      <c r="M95" s="199">
        <f>IF(G95="", "", IFERROR(IF(G95="Mat", [3]BDI!C$31, IF(G95="MO", [3]BDI!C$17)), ""))</f>
        <v>0.12989999999999999</v>
      </c>
      <c r="N95" s="134">
        <f t="shared" si="6"/>
        <v>568.43574150000006</v>
      </c>
      <c r="O95" s="207">
        <f t="shared" si="7"/>
        <v>503.08500000000009</v>
      </c>
      <c r="P95" s="208">
        <f t="shared" si="8"/>
        <v>568.43574150000006</v>
      </c>
    </row>
    <row r="96" spans="2:16">
      <c r="B96" s="303">
        <f t="shared" si="9"/>
        <v>19019</v>
      </c>
      <c r="C96" s="304"/>
      <c r="D96" s="305"/>
      <c r="E96" s="560" t="s">
        <v>765</v>
      </c>
      <c r="F96" s="560"/>
      <c r="G96" s="204" t="s">
        <v>39</v>
      </c>
      <c r="H96" s="205" t="s">
        <v>308</v>
      </c>
      <c r="I96" s="133">
        <v>1</v>
      </c>
      <c r="J96" s="206" t="s">
        <v>31</v>
      </c>
      <c r="K96" s="279">
        <v>645.93999999999994</v>
      </c>
      <c r="L96" s="279"/>
      <c r="M96" s="199">
        <f>IF(G96="", "", IFERROR(IF(G96="Mat", [3]BDI!C$31, IF(G96="MO", [3]BDI!C$17)), ""))</f>
        <v>0.12989999999999999</v>
      </c>
      <c r="N96" s="134">
        <f t="shared" si="6"/>
        <v>729.84760599999993</v>
      </c>
      <c r="O96" s="207">
        <f t="shared" si="7"/>
        <v>645.93999999999994</v>
      </c>
      <c r="P96" s="208">
        <f t="shared" si="8"/>
        <v>729.84760599999993</v>
      </c>
    </row>
    <row r="97" spans="2:16">
      <c r="B97" s="303">
        <f t="shared" si="9"/>
        <v>19020</v>
      </c>
      <c r="C97" s="304"/>
      <c r="D97" s="305"/>
      <c r="E97" s="560" t="s">
        <v>347</v>
      </c>
      <c r="F97" s="560"/>
      <c r="G97" s="204" t="s">
        <v>39</v>
      </c>
      <c r="H97" s="205" t="s">
        <v>308</v>
      </c>
      <c r="I97" s="133">
        <v>1</v>
      </c>
      <c r="J97" s="206" t="s">
        <v>767</v>
      </c>
      <c r="K97" s="279">
        <v>372.03</v>
      </c>
      <c r="L97" s="279"/>
      <c r="M97" s="199">
        <f>IF(G97="", "", IFERROR(IF(G97="Mat", [3]BDI!C$31, IF(G97="MO", [3]BDI!C$17)), ""))</f>
        <v>0.12989999999999999</v>
      </c>
      <c r="N97" s="134">
        <f t="shared" si="6"/>
        <v>420.35669699999994</v>
      </c>
      <c r="O97" s="207">
        <f t="shared" si="7"/>
        <v>372.03</v>
      </c>
      <c r="P97" s="208">
        <f t="shared" si="8"/>
        <v>420.35669699999994</v>
      </c>
    </row>
    <row r="98" spans="2:16">
      <c r="B98" s="303">
        <f t="shared" si="9"/>
        <v>19021</v>
      </c>
      <c r="C98" s="304"/>
      <c r="D98" s="305"/>
      <c r="E98" s="560" t="s">
        <v>926</v>
      </c>
      <c r="F98" s="560"/>
      <c r="G98" s="204" t="s">
        <v>39</v>
      </c>
      <c r="H98" s="205" t="s">
        <v>308</v>
      </c>
      <c r="I98" s="133">
        <v>1</v>
      </c>
      <c r="J98" s="206" t="s">
        <v>767</v>
      </c>
      <c r="K98" s="279">
        <v>182.63</v>
      </c>
      <c r="L98" s="279"/>
      <c r="M98" s="199">
        <f>IF(G98="", "", IFERROR(IF(G98="Mat", [3]BDI!C$31, IF(G98="MO", [3]BDI!C$17)), ""))</f>
        <v>0.12989999999999999</v>
      </c>
      <c r="N98" s="134">
        <f t="shared" si="6"/>
        <v>206.35363699999996</v>
      </c>
      <c r="O98" s="207">
        <f t="shared" si="7"/>
        <v>182.63</v>
      </c>
      <c r="P98" s="208">
        <f t="shared" si="8"/>
        <v>206.35363699999996</v>
      </c>
    </row>
    <row r="99" spans="2:16">
      <c r="B99" s="303">
        <f t="shared" si="9"/>
        <v>19022</v>
      </c>
      <c r="C99" s="304"/>
      <c r="D99" s="305"/>
      <c r="E99" s="560" t="s">
        <v>927</v>
      </c>
      <c r="F99" s="560"/>
      <c r="G99" s="204" t="s">
        <v>39</v>
      </c>
      <c r="H99" s="205" t="s">
        <v>308</v>
      </c>
      <c r="I99" s="133">
        <v>1</v>
      </c>
      <c r="J99" s="206" t="s">
        <v>767</v>
      </c>
      <c r="K99" s="279">
        <v>103.67</v>
      </c>
      <c r="L99" s="279"/>
      <c r="M99" s="199">
        <f>IF(G99="", "", IFERROR(IF(G99="Mat", [3]BDI!C$31, IF(G99="MO", [3]BDI!C$17)), ""))</f>
        <v>0.12989999999999999</v>
      </c>
      <c r="N99" s="134">
        <f t="shared" si="6"/>
        <v>117.13673299999999</v>
      </c>
      <c r="O99" s="207">
        <f t="shared" si="7"/>
        <v>103.67</v>
      </c>
      <c r="P99" s="208">
        <f t="shared" si="8"/>
        <v>117.13673299999999</v>
      </c>
    </row>
    <row r="100" spans="2:16">
      <c r="B100" s="303">
        <f t="shared" si="9"/>
        <v>19023</v>
      </c>
      <c r="C100" s="304"/>
      <c r="D100" s="305"/>
      <c r="E100" s="560" t="s">
        <v>766</v>
      </c>
      <c r="F100" s="560"/>
      <c r="G100" s="204" t="s">
        <v>39</v>
      </c>
      <c r="H100" s="205" t="s">
        <v>308</v>
      </c>
      <c r="I100" s="133">
        <v>1</v>
      </c>
      <c r="J100" s="206" t="s">
        <v>767</v>
      </c>
      <c r="K100" s="279">
        <v>137.61000000000001</v>
      </c>
      <c r="L100" s="279"/>
      <c r="M100" s="199">
        <f>IF(G100="", "", IFERROR(IF(G100="Mat", [3]BDI!C$31, IF(G100="MO", [3]BDI!C$17)), ""))</f>
        <v>0.12989999999999999</v>
      </c>
      <c r="N100" s="134">
        <f t="shared" si="6"/>
        <v>155.48553899999999</v>
      </c>
      <c r="O100" s="207">
        <f t="shared" si="7"/>
        <v>137.61000000000001</v>
      </c>
      <c r="P100" s="208">
        <f t="shared" si="8"/>
        <v>155.48553899999999</v>
      </c>
    </row>
    <row r="101" spans="2:16">
      <c r="B101" s="303">
        <f t="shared" si="9"/>
        <v>19024</v>
      </c>
      <c r="C101" s="304"/>
      <c r="D101" s="305"/>
      <c r="E101" s="560" t="s">
        <v>873</v>
      </c>
      <c r="F101" s="560"/>
      <c r="G101" s="204" t="s">
        <v>39</v>
      </c>
      <c r="H101" s="205" t="s">
        <v>308</v>
      </c>
      <c r="I101" s="133">
        <v>1</v>
      </c>
      <c r="J101" s="206" t="s">
        <v>767</v>
      </c>
      <c r="K101" s="279">
        <v>103.67</v>
      </c>
      <c r="L101" s="279"/>
      <c r="M101" s="199">
        <f>IF(G101="", "", IFERROR(IF(G101="Mat", [3]BDI!C$31, IF(G101="MO", [3]BDI!C$17)), ""))</f>
        <v>0.12989999999999999</v>
      </c>
      <c r="N101" s="134">
        <f t="shared" si="6"/>
        <v>117.13673299999999</v>
      </c>
      <c r="O101" s="207">
        <f t="shared" si="7"/>
        <v>103.67</v>
      </c>
      <c r="P101" s="208">
        <f t="shared" si="8"/>
        <v>117.13673299999999</v>
      </c>
    </row>
    <row r="102" spans="2:16">
      <c r="B102" s="303">
        <f t="shared" si="9"/>
        <v>19025</v>
      </c>
      <c r="C102" s="304"/>
      <c r="D102" s="305"/>
      <c r="E102" s="560" t="s">
        <v>928</v>
      </c>
      <c r="F102" s="560"/>
      <c r="G102" s="204" t="s">
        <v>39</v>
      </c>
      <c r="H102" s="205" t="s">
        <v>308</v>
      </c>
      <c r="I102" s="133">
        <v>4</v>
      </c>
      <c r="J102" s="206" t="s">
        <v>767</v>
      </c>
      <c r="K102" s="279">
        <v>103.67</v>
      </c>
      <c r="L102" s="279"/>
      <c r="M102" s="199">
        <f>IF(G102="", "", IFERROR(IF(G102="Mat", [3]BDI!C$31, IF(G102="MO", [3]BDI!C$17)), ""))</f>
        <v>0.12989999999999999</v>
      </c>
      <c r="N102" s="134">
        <f t="shared" si="6"/>
        <v>117.13673299999999</v>
      </c>
      <c r="O102" s="207">
        <f t="shared" si="7"/>
        <v>414.68</v>
      </c>
      <c r="P102" s="208">
        <f t="shared" si="8"/>
        <v>468.54693199999997</v>
      </c>
    </row>
    <row r="103" spans="2:16">
      <c r="B103" s="303">
        <f t="shared" si="9"/>
        <v>19026</v>
      </c>
      <c r="C103" s="304"/>
      <c r="D103" s="305"/>
      <c r="E103" s="560" t="s">
        <v>929</v>
      </c>
      <c r="F103" s="560"/>
      <c r="G103" s="204" t="s">
        <v>39</v>
      </c>
      <c r="H103" s="205" t="s">
        <v>308</v>
      </c>
      <c r="I103" s="133">
        <v>2</v>
      </c>
      <c r="J103" s="206" t="s">
        <v>767</v>
      </c>
      <c r="K103" s="279">
        <v>135.11000000000001</v>
      </c>
      <c r="L103" s="279"/>
      <c r="M103" s="199">
        <f>IF(G103="", "", IFERROR(IF(G103="Mat", [3]BDI!C$31, IF(G103="MO", [3]BDI!C$17)), ""))</f>
        <v>0.12989999999999999</v>
      </c>
      <c r="N103" s="134">
        <f t="shared" si="6"/>
        <v>152.66078899999999</v>
      </c>
      <c r="O103" s="207">
        <f t="shared" si="7"/>
        <v>270.22000000000003</v>
      </c>
      <c r="P103" s="208">
        <f t="shared" si="8"/>
        <v>305.32157799999999</v>
      </c>
    </row>
    <row r="104" spans="2:16">
      <c r="B104" s="303">
        <v>19039</v>
      </c>
      <c r="C104" s="304"/>
      <c r="D104" s="305"/>
      <c r="E104" s="560" t="s">
        <v>352</v>
      </c>
      <c r="F104" s="560"/>
      <c r="G104" s="204" t="s">
        <v>39</v>
      </c>
      <c r="H104" s="205" t="s">
        <v>308</v>
      </c>
      <c r="I104" s="133">
        <v>1</v>
      </c>
      <c r="J104" s="206" t="s">
        <v>767</v>
      </c>
      <c r="K104" s="279">
        <v>200.21</v>
      </c>
      <c r="L104" s="279"/>
      <c r="M104" s="199">
        <f>IF(G104="", "", IFERROR(IF(G104="Mat", [3]BDI!C$31, IF(G104="MO", [3]BDI!C$17)), ""))</f>
        <v>0.12989999999999999</v>
      </c>
      <c r="N104" s="134">
        <f t="shared" si="6"/>
        <v>226.21727899999999</v>
      </c>
      <c r="O104" s="207">
        <f t="shared" si="7"/>
        <v>200.21</v>
      </c>
      <c r="P104" s="208">
        <f t="shared" si="8"/>
        <v>226.21727899999999</v>
      </c>
    </row>
    <row r="105" spans="2:16">
      <c r="B105" s="605">
        <f>B104+1</f>
        <v>19040</v>
      </c>
      <c r="C105" s="603"/>
      <c r="D105" s="604"/>
      <c r="E105" s="611" t="s">
        <v>853</v>
      </c>
      <c r="F105" s="612"/>
      <c r="G105" s="204" t="s">
        <v>39</v>
      </c>
      <c r="H105" s="205" t="s">
        <v>308</v>
      </c>
      <c r="I105" s="133">
        <v>1</v>
      </c>
      <c r="J105" s="206" t="s">
        <v>31</v>
      </c>
      <c r="K105" s="271">
        <v>1349.64</v>
      </c>
      <c r="L105" s="272"/>
      <c r="M105" s="199">
        <f>IF(G105="", "", IFERROR(IF(G105="Mat", BDI!C$31, IF(G105="MO", BDI!C$17)), ""))</f>
        <v>0.12989999999999999</v>
      </c>
      <c r="N105" s="134">
        <f>IF(K105="","",K105*(1+M105))</f>
        <v>1524.9582359999999</v>
      </c>
      <c r="O105" s="207">
        <f>K105*I105</f>
        <v>1349.64</v>
      </c>
      <c r="P105" s="208">
        <f>N105*I105</f>
        <v>1524.9582359999999</v>
      </c>
    </row>
    <row r="106" spans="2:16">
      <c r="B106" s="298"/>
      <c r="C106" s="299"/>
      <c r="D106" s="300"/>
      <c r="E106" s="298" t="s">
        <v>856</v>
      </c>
      <c r="F106" s="300"/>
      <c r="G106" s="230"/>
      <c r="H106" s="230"/>
      <c r="I106" s="230"/>
      <c r="J106" s="231"/>
      <c r="K106" s="301"/>
      <c r="L106" s="302"/>
      <c r="M106" s="232"/>
      <c r="N106" s="233"/>
      <c r="O106" s="234"/>
      <c r="P106" s="235">
        <f>P107+P112+P123</f>
        <v>10421.086755882981</v>
      </c>
    </row>
    <row r="107" spans="2:16">
      <c r="B107" s="624" t="s">
        <v>951</v>
      </c>
      <c r="C107" s="625"/>
      <c r="D107" s="625"/>
      <c r="E107" s="293" t="s">
        <v>88</v>
      </c>
      <c r="F107" s="314"/>
      <c r="G107" s="239"/>
      <c r="H107" s="239"/>
      <c r="I107" s="239"/>
      <c r="J107" s="240"/>
      <c r="K107" s="315"/>
      <c r="L107" s="316"/>
      <c r="M107" s="241"/>
      <c r="N107" s="242"/>
      <c r="O107" s="243"/>
      <c r="P107" s="189">
        <f>P108+P110</f>
        <v>345.78740768</v>
      </c>
    </row>
    <row r="108" spans="2:16">
      <c r="B108" s="265" t="s">
        <v>90</v>
      </c>
      <c r="C108" s="286"/>
      <c r="D108" s="286"/>
      <c r="E108" s="265" t="s">
        <v>91</v>
      </c>
      <c r="F108" s="286"/>
      <c r="G108" s="130"/>
      <c r="H108" s="130"/>
      <c r="I108" s="130"/>
      <c r="J108" s="196" t="s">
        <v>28</v>
      </c>
      <c r="K108" s="287" t="str">
        <f>[1]REF_TAB_PREÇOS_SANEPAR!I338</f>
        <v/>
      </c>
      <c r="L108" s="288"/>
      <c r="M108" s="116"/>
      <c r="N108" s="131"/>
      <c r="O108" s="197"/>
      <c r="P108" s="132">
        <f>SUBTOTAL(9,P109:P109)</f>
        <v>217.89733679999998</v>
      </c>
    </row>
    <row r="109" spans="2:16">
      <c r="B109" s="282" t="s">
        <v>613</v>
      </c>
      <c r="C109" s="283"/>
      <c r="D109" s="283"/>
      <c r="E109" s="558" t="s">
        <v>612</v>
      </c>
      <c r="F109" s="563"/>
      <c r="G109" s="566" t="s">
        <v>29</v>
      </c>
      <c r="H109" s="566" t="s">
        <v>40</v>
      </c>
      <c r="I109" s="619">
        <f>Memorial!P6</f>
        <v>11.44</v>
      </c>
      <c r="J109" s="198" t="s">
        <v>70</v>
      </c>
      <c r="K109" s="284">
        <v>15.3</v>
      </c>
      <c r="L109" s="285"/>
      <c r="M109" s="199">
        <f>IF(G109="", "", IFERROR(IF(G109="Mat", BDI!C$31, IF(G109="MO", BDI!C$17)), ""))</f>
        <v>0.24490000000000001</v>
      </c>
      <c r="N109" s="134">
        <f>IF(K109="","",K109*(1+M109))</f>
        <v>19.046969999999998</v>
      </c>
      <c r="O109" s="200">
        <f>K109*I109</f>
        <v>175.03200000000001</v>
      </c>
      <c r="P109" s="135">
        <f>N109*I109</f>
        <v>217.89733679999998</v>
      </c>
    </row>
    <row r="110" spans="2:16">
      <c r="B110" s="265" t="s">
        <v>93</v>
      </c>
      <c r="C110" s="286"/>
      <c r="D110" s="286"/>
      <c r="E110" s="265" t="s">
        <v>94</v>
      </c>
      <c r="F110" s="286"/>
      <c r="G110" s="130"/>
      <c r="H110" s="130"/>
      <c r="I110" s="130"/>
      <c r="J110" s="196" t="s">
        <v>28</v>
      </c>
      <c r="K110" s="287"/>
      <c r="L110" s="288"/>
      <c r="M110" s="116"/>
      <c r="N110" s="131"/>
      <c r="O110" s="197"/>
      <c r="P110" s="132">
        <f>P111</f>
        <v>127.89007088</v>
      </c>
    </row>
    <row r="111" spans="2:16">
      <c r="B111" s="282" t="s">
        <v>95</v>
      </c>
      <c r="C111" s="283"/>
      <c r="D111" s="283"/>
      <c r="E111" s="558" t="s">
        <v>96</v>
      </c>
      <c r="F111" s="563"/>
      <c r="G111" s="566" t="s">
        <v>29</v>
      </c>
      <c r="H111" s="566" t="s">
        <v>40</v>
      </c>
      <c r="I111" s="619">
        <f>I109</f>
        <v>11.44</v>
      </c>
      <c r="J111" s="198" t="s">
        <v>70</v>
      </c>
      <c r="K111" s="284">
        <v>8.98</v>
      </c>
      <c r="L111" s="285"/>
      <c r="M111" s="199">
        <f>IF(G111="", "", IFERROR(IF(G111="Mat", BDI!C$31, IF(G111="MO", BDI!C$17)), ""))</f>
        <v>0.24490000000000001</v>
      </c>
      <c r="N111" s="134">
        <f>IF(K111="","",K111*(1+M111))</f>
        <v>11.179202</v>
      </c>
      <c r="O111" s="200">
        <f>K111*I111</f>
        <v>102.7312</v>
      </c>
      <c r="P111" s="135">
        <f>N111*I111</f>
        <v>127.89007088</v>
      </c>
    </row>
    <row r="112" spans="2:16">
      <c r="B112" s="624" t="s">
        <v>952</v>
      </c>
      <c r="C112" s="625"/>
      <c r="D112" s="625"/>
      <c r="E112" s="293" t="s">
        <v>99</v>
      </c>
      <c r="F112" s="314"/>
      <c r="G112" s="127"/>
      <c r="H112" s="127"/>
      <c r="I112" s="127"/>
      <c r="J112" s="193" t="s">
        <v>28</v>
      </c>
      <c r="K112" s="295"/>
      <c r="L112" s="321"/>
      <c r="M112" s="194"/>
      <c r="N112" s="136"/>
      <c r="O112" s="201"/>
      <c r="P112" s="129">
        <f>P115+P117+P119+P121</f>
        <v>4039.1012820029814</v>
      </c>
    </row>
    <row r="113" spans="2:16">
      <c r="B113" s="265" t="s">
        <v>108</v>
      </c>
      <c r="C113" s="289"/>
      <c r="D113" s="289"/>
      <c r="E113" s="265" t="s">
        <v>109</v>
      </c>
      <c r="F113" s="289"/>
      <c r="G113" s="8"/>
      <c r="H113" s="8"/>
      <c r="I113" s="8"/>
      <c r="J113" s="196" t="s">
        <v>28</v>
      </c>
      <c r="K113" s="287"/>
      <c r="L113" s="290"/>
      <c r="M113" s="116"/>
      <c r="N113" s="13"/>
      <c r="O113" s="197"/>
      <c r="P113" s="9">
        <f>P114</f>
        <v>1842.1034279999999</v>
      </c>
    </row>
    <row r="114" spans="2:16">
      <c r="B114" s="282" t="s">
        <v>614</v>
      </c>
      <c r="C114" s="322"/>
      <c r="D114" s="322"/>
      <c r="E114" s="558" t="s">
        <v>615</v>
      </c>
      <c r="F114" s="559"/>
      <c r="G114" s="620" t="s">
        <v>29</v>
      </c>
      <c r="H114" s="566" t="s">
        <v>40</v>
      </c>
      <c r="I114" s="620">
        <f>Memorial!U10</f>
        <v>12</v>
      </c>
      <c r="J114" s="198" t="s">
        <v>30</v>
      </c>
      <c r="K114" s="284">
        <v>123.31</v>
      </c>
      <c r="L114" s="323"/>
      <c r="M114" s="199">
        <f>IF(G114="", "", IFERROR(IF(G114="Mat", [1]BDI!C$31, IF(G114="MO", [1]BDI!C$17)), ""))</f>
        <v>0.24490000000000001</v>
      </c>
      <c r="N114" s="11">
        <f>IF(K114="","",K114*(1+M114))</f>
        <v>153.50861899999998</v>
      </c>
      <c r="O114" s="200">
        <f>K114*I114</f>
        <v>1479.72</v>
      </c>
      <c r="P114" s="12">
        <f>N114*I114</f>
        <v>1842.1034279999999</v>
      </c>
    </row>
    <row r="115" spans="2:16">
      <c r="B115" s="265" t="s">
        <v>115</v>
      </c>
      <c r="C115" s="286"/>
      <c r="D115" s="286"/>
      <c r="E115" s="265" t="s">
        <v>116</v>
      </c>
      <c r="F115" s="286"/>
      <c r="G115" s="130"/>
      <c r="H115" s="130"/>
      <c r="I115" s="130"/>
      <c r="J115" s="196" t="s">
        <v>28</v>
      </c>
      <c r="K115" s="287" t="s">
        <v>28</v>
      </c>
      <c r="L115" s="288"/>
      <c r="M115" s="116"/>
      <c r="N115" s="131" t="str">
        <f>IF(K115="","",K115*(1+M115))</f>
        <v/>
      </c>
      <c r="O115" s="197"/>
      <c r="P115" s="132">
        <f>SUBTOTAL(9,P116:P116)</f>
        <v>712.47320063999996</v>
      </c>
    </row>
    <row r="116" spans="2:16">
      <c r="B116" s="282" t="s">
        <v>117</v>
      </c>
      <c r="C116" s="283"/>
      <c r="D116" s="283"/>
      <c r="E116" s="558" t="s">
        <v>118</v>
      </c>
      <c r="F116" s="563"/>
      <c r="G116" s="566" t="s">
        <v>29</v>
      </c>
      <c r="H116" s="566" t="s">
        <v>40</v>
      </c>
      <c r="I116" s="566">
        <f>Memorial!U11</f>
        <v>37.26</v>
      </c>
      <c r="J116" s="198" t="s">
        <v>119</v>
      </c>
      <c r="K116" s="284">
        <v>15.36</v>
      </c>
      <c r="L116" s="285"/>
      <c r="M116" s="199">
        <f>IF(G116="", "", IFERROR(IF(G116="Mat", [1]BDI!C$31, IF(G116="MO", [1]BDI!C$17)), ""))</f>
        <v>0.24490000000000001</v>
      </c>
      <c r="N116" s="134">
        <f>IF(K116="","",K116*(1+M116))</f>
        <v>19.121663999999999</v>
      </c>
      <c r="O116" s="200">
        <f>K116*I116</f>
        <v>572.31359999999995</v>
      </c>
      <c r="P116" s="135">
        <f>N116*I116</f>
        <v>712.47320063999996</v>
      </c>
    </row>
    <row r="117" spans="2:16">
      <c r="B117" s="265" t="s">
        <v>126</v>
      </c>
      <c r="C117" s="286"/>
      <c r="D117" s="286"/>
      <c r="E117" s="265" t="s">
        <v>127</v>
      </c>
      <c r="F117" s="286"/>
      <c r="G117" s="130"/>
      <c r="H117" s="130"/>
      <c r="I117" s="130"/>
      <c r="J117" s="196" t="s">
        <v>28</v>
      </c>
      <c r="K117" s="287" t="s">
        <v>28</v>
      </c>
      <c r="L117" s="288"/>
      <c r="M117" s="116"/>
      <c r="N117" s="131"/>
      <c r="O117" s="197"/>
      <c r="P117" s="132">
        <f>SUBTOTAL(9,P118:P118)</f>
        <v>649.64172825000003</v>
      </c>
    </row>
    <row r="118" spans="2:16">
      <c r="B118" s="282" t="s">
        <v>616</v>
      </c>
      <c r="C118" s="283"/>
      <c r="D118" s="283"/>
      <c r="E118" s="558" t="s">
        <v>617</v>
      </c>
      <c r="F118" s="563"/>
      <c r="G118" s="566" t="s">
        <v>29</v>
      </c>
      <c r="H118" s="566" t="s">
        <v>40</v>
      </c>
      <c r="I118" s="566">
        <f>Memorial!U12</f>
        <v>0.81</v>
      </c>
      <c r="J118" s="198" t="s">
        <v>70</v>
      </c>
      <c r="K118" s="284">
        <v>644.25</v>
      </c>
      <c r="L118" s="285"/>
      <c r="M118" s="199">
        <f>IF(G118="", "", IFERROR(IF(G118="Mat", [1]BDI!C$31, IF(G118="MO", [1]BDI!C$17)), ""))</f>
        <v>0.24490000000000001</v>
      </c>
      <c r="N118" s="134">
        <f>IF(K118="","",K118*(1+M118))</f>
        <v>802.02682499999992</v>
      </c>
      <c r="O118" s="200">
        <f>K118*I118</f>
        <v>521.84250000000009</v>
      </c>
      <c r="P118" s="135">
        <f>N118*I118</f>
        <v>649.64172825000003</v>
      </c>
    </row>
    <row r="119" spans="2:16">
      <c r="B119" s="265" t="s">
        <v>130</v>
      </c>
      <c r="C119" s="286"/>
      <c r="D119" s="286"/>
      <c r="E119" s="265" t="s">
        <v>131</v>
      </c>
      <c r="F119" s="286"/>
      <c r="G119" s="130"/>
      <c r="H119" s="130"/>
      <c r="I119" s="130"/>
      <c r="J119" s="196" t="s">
        <v>28</v>
      </c>
      <c r="K119" s="287" t="s">
        <v>28</v>
      </c>
      <c r="L119" s="288"/>
      <c r="M119" s="116"/>
      <c r="N119" s="131"/>
      <c r="O119" s="197"/>
      <c r="P119" s="132">
        <f>SUBTOTAL(9,P120)</f>
        <v>53.211632129999998</v>
      </c>
    </row>
    <row r="120" spans="2:16">
      <c r="B120" s="282" t="s">
        <v>132</v>
      </c>
      <c r="C120" s="283"/>
      <c r="D120" s="283"/>
      <c r="E120" s="558" t="s">
        <v>133</v>
      </c>
      <c r="F120" s="563"/>
      <c r="G120" s="566" t="s">
        <v>29</v>
      </c>
      <c r="H120" s="566" t="s">
        <v>40</v>
      </c>
      <c r="I120" s="619">
        <f>I118</f>
        <v>0.81</v>
      </c>
      <c r="J120" s="198" t="s">
        <v>70</v>
      </c>
      <c r="K120" s="284">
        <v>52.77</v>
      </c>
      <c r="L120" s="285"/>
      <c r="M120" s="199">
        <f>IF(G120="", "", IFERROR(IF(G120="Mat", [1]BDI!C$31, IF(G120="MO", [1]BDI!C$17)), ""))</f>
        <v>0.24490000000000001</v>
      </c>
      <c r="N120" s="134">
        <f>IF(K120="","",K120*(1+M120))</f>
        <v>65.693372999999994</v>
      </c>
      <c r="O120" s="200">
        <f>K120*I120</f>
        <v>42.743700000000004</v>
      </c>
      <c r="P120" s="135">
        <f>N120*I120</f>
        <v>53.211632129999998</v>
      </c>
    </row>
    <row r="121" spans="2:16">
      <c r="B121" s="265" t="s">
        <v>134</v>
      </c>
      <c r="C121" s="286"/>
      <c r="D121" s="286"/>
      <c r="E121" s="265" t="s">
        <v>135</v>
      </c>
      <c r="F121" s="286"/>
      <c r="G121" s="130"/>
      <c r="H121" s="130"/>
      <c r="I121" s="130"/>
      <c r="J121" s="196" t="s">
        <v>28</v>
      </c>
      <c r="K121" s="287" t="s">
        <v>28</v>
      </c>
      <c r="L121" s="288"/>
      <c r="M121" s="116"/>
      <c r="N121" s="131"/>
      <c r="O121" s="197"/>
      <c r="P121" s="132">
        <f>SUBTOTAL(9,P122:P122)</f>
        <v>2623.7747209829813</v>
      </c>
    </row>
    <row r="122" spans="2:16">
      <c r="B122" s="282" t="s">
        <v>136</v>
      </c>
      <c r="C122" s="283"/>
      <c r="D122" s="283"/>
      <c r="E122" s="558" t="s">
        <v>137</v>
      </c>
      <c r="F122" s="563"/>
      <c r="G122" s="566" t="s">
        <v>29</v>
      </c>
      <c r="H122" s="566" t="s">
        <v>40</v>
      </c>
      <c r="I122" s="619">
        <f>Memorial!N16</f>
        <v>9.3443531888374807</v>
      </c>
      <c r="J122" s="198" t="s">
        <v>30</v>
      </c>
      <c r="K122" s="284">
        <v>225.55</v>
      </c>
      <c r="L122" s="285"/>
      <c r="M122" s="199">
        <f>IF(G122="", "", IFERROR(IF(G122="Mat", [1]BDI!C$31, IF(G122="MO", [1]BDI!C$17)), ""))</f>
        <v>0.24490000000000001</v>
      </c>
      <c r="N122" s="134">
        <f>IF(K122="","",K122*(1+M122))</f>
        <v>280.787195</v>
      </c>
      <c r="O122" s="200">
        <f>K122*I122</f>
        <v>2107.618861742294</v>
      </c>
      <c r="P122" s="135">
        <f>N122*I122</f>
        <v>2623.7747209829813</v>
      </c>
    </row>
    <row r="123" spans="2:16" ht="14.45" customHeight="1">
      <c r="B123" s="623" t="s">
        <v>953</v>
      </c>
      <c r="C123" s="626"/>
      <c r="D123" s="626"/>
      <c r="E123" s="291" t="s">
        <v>284</v>
      </c>
      <c r="F123" s="292"/>
      <c r="G123" s="127"/>
      <c r="H123" s="127"/>
      <c r="I123" s="188"/>
      <c r="J123" s="193"/>
      <c r="K123" s="319"/>
      <c r="L123" s="320"/>
      <c r="M123" s="194"/>
      <c r="N123" s="136"/>
      <c r="O123" s="201"/>
      <c r="P123" s="189">
        <f>P124</f>
        <v>6036.1980662000005</v>
      </c>
    </row>
    <row r="124" spans="2:16">
      <c r="B124" s="265" t="s">
        <v>630</v>
      </c>
      <c r="C124" s="286"/>
      <c r="D124" s="286"/>
      <c r="E124" s="265" t="s">
        <v>631</v>
      </c>
      <c r="F124" s="286"/>
      <c r="G124" s="130"/>
      <c r="H124" s="130"/>
      <c r="I124" s="130"/>
      <c r="J124" s="196" t="s">
        <v>28</v>
      </c>
      <c r="K124" s="287" t="str">
        <f>[1]REF_TAB_PREÇOS_SANEPAR!I2194</f>
        <v/>
      </c>
      <c r="L124" s="288"/>
      <c r="M124" s="116"/>
      <c r="N124" s="131"/>
      <c r="O124" s="197"/>
      <c r="P124" s="132">
        <f>P125+P126+P127+P128</f>
        <v>6036.1980662000005</v>
      </c>
    </row>
    <row r="125" spans="2:16">
      <c r="B125" s="282" t="s">
        <v>633</v>
      </c>
      <c r="C125" s="283"/>
      <c r="D125" s="283"/>
      <c r="E125" s="558" t="s">
        <v>634</v>
      </c>
      <c r="F125" s="563"/>
      <c r="G125" s="133" t="s">
        <v>29</v>
      </c>
      <c r="H125" s="133" t="s">
        <v>40</v>
      </c>
      <c r="I125" s="133">
        <v>1</v>
      </c>
      <c r="J125" s="198" t="s">
        <v>31</v>
      </c>
      <c r="K125" s="284">
        <v>1791.23</v>
      </c>
      <c r="L125" s="285"/>
      <c r="M125" s="199">
        <f>IF(G125="", "", IFERROR(IF(G125="Mat", [1]BDI!C$31, IF(G125="MO", [1]BDI!C$17)), ""))</f>
        <v>0.24490000000000001</v>
      </c>
      <c r="N125" s="134">
        <f>IF(K125="","",K125*(1+M125))</f>
        <v>2229.902227</v>
      </c>
      <c r="O125" s="200">
        <f>K125*I125</f>
        <v>1791.23</v>
      </c>
      <c r="P125" s="135">
        <f>N125*I125</f>
        <v>2229.902227</v>
      </c>
    </row>
    <row r="126" spans="2:16">
      <c r="B126" s="282" t="s">
        <v>635</v>
      </c>
      <c r="C126" s="283"/>
      <c r="D126" s="283"/>
      <c r="E126" s="558" t="s">
        <v>632</v>
      </c>
      <c r="F126" s="563"/>
      <c r="G126" s="133" t="s">
        <v>29</v>
      </c>
      <c r="H126" s="133" t="s">
        <v>40</v>
      </c>
      <c r="I126" s="133">
        <v>1.36</v>
      </c>
      <c r="J126" s="198" t="s">
        <v>36</v>
      </c>
      <c r="K126" s="284">
        <v>1137.8</v>
      </c>
      <c r="L126" s="285"/>
      <c r="M126" s="199">
        <f>IF(G126="", "", IFERROR(IF(G126="Mat", [1]BDI!C$31, IF(G126="MO", [1]BDI!C$17)), ""))</f>
        <v>0.24490000000000001</v>
      </c>
      <c r="N126" s="134">
        <f>IF(K126="","",K126*(1+M126))</f>
        <v>1416.4472199999998</v>
      </c>
      <c r="O126" s="200">
        <f>K126*I126</f>
        <v>1547.4080000000001</v>
      </c>
      <c r="P126" s="135">
        <f>N126*I126</f>
        <v>1926.3682191999999</v>
      </c>
    </row>
    <row r="127" spans="2:16">
      <c r="B127" s="303">
        <v>19039</v>
      </c>
      <c r="C127" s="309"/>
      <c r="D127" s="310"/>
      <c r="E127" s="561" t="s">
        <v>859</v>
      </c>
      <c r="F127" s="562"/>
      <c r="G127" s="133" t="s">
        <v>39</v>
      </c>
      <c r="H127" s="133" t="s">
        <v>40</v>
      </c>
      <c r="I127" s="133">
        <v>1</v>
      </c>
      <c r="J127" s="198" t="s">
        <v>31</v>
      </c>
      <c r="K127" s="259">
        <f>858*1.1</f>
        <v>943.80000000000007</v>
      </c>
      <c r="L127" s="260"/>
      <c r="M127" s="199">
        <f>IF(G127="", "", IFERROR(IF(G127="Mat", [1]BDI!C$31, IF(G127="MO", [1]BDI!C$17)), ""))</f>
        <v>0.12989999999999999</v>
      </c>
      <c r="N127" s="134">
        <f>IF(K127="","",K127*(1+M127))</f>
        <v>1066.3996199999999</v>
      </c>
      <c r="O127" s="200">
        <f>K127*I127</f>
        <v>943.80000000000007</v>
      </c>
      <c r="P127" s="135">
        <f>N127*I127</f>
        <v>1066.3996199999999</v>
      </c>
    </row>
    <row r="128" spans="2:16">
      <c r="B128" s="303">
        <v>19040</v>
      </c>
      <c r="C128" s="304"/>
      <c r="D128" s="305"/>
      <c r="E128" s="561" t="s">
        <v>877</v>
      </c>
      <c r="F128" s="562"/>
      <c r="G128" s="133" t="s">
        <v>39</v>
      </c>
      <c r="H128" s="133" t="s">
        <v>40</v>
      </c>
      <c r="I128" s="133">
        <v>1</v>
      </c>
      <c r="J128" s="198" t="s">
        <v>31</v>
      </c>
      <c r="K128" s="259">
        <v>720</v>
      </c>
      <c r="L128" s="260"/>
      <c r="M128" s="199">
        <f>IF(G128="", "", IFERROR(IF(G128="Mat", [1]BDI!C$31, IF(G128="MO", [1]BDI!C$17)), ""))</f>
        <v>0.12989999999999999</v>
      </c>
      <c r="N128" s="134">
        <f>IF(K128="","",K128*(1+M128))</f>
        <v>813.52799999999991</v>
      </c>
      <c r="O128" s="200">
        <f>K128*I128</f>
        <v>720</v>
      </c>
      <c r="P128" s="135">
        <f>N128*I128</f>
        <v>813.52799999999991</v>
      </c>
    </row>
    <row r="129" spans="2:16">
      <c r="B129" s="298"/>
      <c r="C129" s="299"/>
      <c r="D129" s="300"/>
      <c r="E129" s="298" t="s">
        <v>547</v>
      </c>
      <c r="F129" s="300"/>
      <c r="G129" s="230"/>
      <c r="H129" s="230"/>
      <c r="I129" s="230"/>
      <c r="J129" s="231"/>
      <c r="K129" s="301"/>
      <c r="L129" s="302"/>
      <c r="M129" s="232"/>
      <c r="N129" s="233"/>
      <c r="O129" s="234"/>
      <c r="P129" s="235">
        <f>P130+P132+P134+P136+P138+P140+P143+P146+P149+P160+P169</f>
        <v>107691.65982602</v>
      </c>
    </row>
    <row r="130" spans="2:16">
      <c r="B130" s="265" t="s">
        <v>108</v>
      </c>
      <c r="C130" s="289"/>
      <c r="D130" s="289"/>
      <c r="E130" s="265" t="s">
        <v>109</v>
      </c>
      <c r="F130" s="289"/>
      <c r="G130" s="8"/>
      <c r="H130" s="8"/>
      <c r="I130" s="8"/>
      <c r="J130" s="196" t="s">
        <v>28</v>
      </c>
      <c r="K130" s="287"/>
      <c r="L130" s="290"/>
      <c r="M130" s="116"/>
      <c r="N130" s="13"/>
      <c r="O130" s="197"/>
      <c r="P130" s="9">
        <f>P131</f>
        <v>159.64896375999999</v>
      </c>
    </row>
    <row r="131" spans="2:16">
      <c r="B131" s="282" t="s">
        <v>614</v>
      </c>
      <c r="C131" s="322"/>
      <c r="D131" s="322"/>
      <c r="E131" s="558" t="s">
        <v>615</v>
      </c>
      <c r="F131" s="559"/>
      <c r="G131" s="10" t="s">
        <v>29</v>
      </c>
      <c r="H131" s="133" t="s">
        <v>40</v>
      </c>
      <c r="I131" s="10">
        <f>Memorial!X10</f>
        <v>1.04</v>
      </c>
      <c r="J131" s="198" t="s">
        <v>30</v>
      </c>
      <c r="K131" s="284">
        <v>123.31</v>
      </c>
      <c r="L131" s="323"/>
      <c r="M131" s="199">
        <f>IF(G131="", "", IFERROR(IF(G131="Mat", [1]BDI!C$31, IF(G131="MO", [1]BDI!C$17)), ""))</f>
        <v>0.24490000000000001</v>
      </c>
      <c r="N131" s="11">
        <f>IF(K131="","",K131*(1+M131))</f>
        <v>153.50861899999998</v>
      </c>
      <c r="O131" s="200">
        <f>K131*I131</f>
        <v>128.2424</v>
      </c>
      <c r="P131" s="12">
        <f>N131*I131</f>
        <v>159.64896375999999</v>
      </c>
    </row>
    <row r="132" spans="2:16">
      <c r="B132" s="265" t="s">
        <v>115</v>
      </c>
      <c r="C132" s="286"/>
      <c r="D132" s="286"/>
      <c r="E132" s="265" t="s">
        <v>116</v>
      </c>
      <c r="F132" s="286"/>
      <c r="G132" s="130"/>
      <c r="H132" s="130"/>
      <c r="I132" s="130"/>
      <c r="J132" s="196" t="s">
        <v>28</v>
      </c>
      <c r="K132" s="287" t="s">
        <v>28</v>
      </c>
      <c r="L132" s="288"/>
      <c r="M132" s="116"/>
      <c r="N132" s="131" t="str">
        <f>IF(K132="","",K132*(1+M132))</f>
        <v/>
      </c>
      <c r="O132" s="197"/>
      <c r="P132" s="132">
        <f>P133</f>
        <v>553.76338943999997</v>
      </c>
    </row>
    <row r="133" spans="2:16">
      <c r="B133" s="282" t="s">
        <v>117</v>
      </c>
      <c r="C133" s="283"/>
      <c r="D133" s="283"/>
      <c r="E133" s="558" t="s">
        <v>118</v>
      </c>
      <c r="F133" s="563"/>
      <c r="G133" s="133" t="s">
        <v>29</v>
      </c>
      <c r="H133" s="133" t="s">
        <v>40</v>
      </c>
      <c r="I133" s="133">
        <f>Memorial!X11</f>
        <v>28.96</v>
      </c>
      <c r="J133" s="198" t="s">
        <v>119</v>
      </c>
      <c r="K133" s="284">
        <v>15.36</v>
      </c>
      <c r="L133" s="285"/>
      <c r="M133" s="199">
        <f>IF(G133="", "", IFERROR(IF(G133="Mat", [1]BDI!C$31, IF(G133="MO", [1]BDI!C$17)), ""))</f>
        <v>0.24490000000000001</v>
      </c>
      <c r="N133" s="134">
        <f>IF(K133="","",K133*(1+M133))</f>
        <v>19.121663999999999</v>
      </c>
      <c r="O133" s="200">
        <f>K133*I133</f>
        <v>444.82560000000001</v>
      </c>
      <c r="P133" s="135">
        <f>N133*I133</f>
        <v>553.76338943999997</v>
      </c>
    </row>
    <row r="134" spans="2:16">
      <c r="B134" s="265" t="s">
        <v>126</v>
      </c>
      <c r="C134" s="286"/>
      <c r="D134" s="286"/>
      <c r="E134" s="265" t="s">
        <v>127</v>
      </c>
      <c r="F134" s="286"/>
      <c r="G134" s="130"/>
      <c r="H134" s="130"/>
      <c r="I134" s="130"/>
      <c r="J134" s="196" t="s">
        <v>28</v>
      </c>
      <c r="K134" s="287" t="s">
        <v>28</v>
      </c>
      <c r="L134" s="288"/>
      <c r="M134" s="116"/>
      <c r="N134" s="131"/>
      <c r="O134" s="197"/>
      <c r="P134" s="132">
        <f>P135</f>
        <v>272.6891205</v>
      </c>
    </row>
    <row r="135" spans="2:16">
      <c r="B135" s="282" t="s">
        <v>616</v>
      </c>
      <c r="C135" s="283"/>
      <c r="D135" s="283"/>
      <c r="E135" s="558" t="s">
        <v>617</v>
      </c>
      <c r="F135" s="563"/>
      <c r="G135" s="133" t="s">
        <v>29</v>
      </c>
      <c r="H135" s="133" t="s">
        <v>40</v>
      </c>
      <c r="I135" s="179">
        <f>Memorial!X12</f>
        <v>0.34</v>
      </c>
      <c r="J135" s="198" t="s">
        <v>70</v>
      </c>
      <c r="K135" s="284">
        <v>644.25</v>
      </c>
      <c r="L135" s="285"/>
      <c r="M135" s="199">
        <f>IF(G135="", "", IFERROR(IF(G135="Mat", [1]BDI!C$31, IF(G135="MO", [1]BDI!C$17)), ""))</f>
        <v>0.24490000000000001</v>
      </c>
      <c r="N135" s="134">
        <f>IF(K135="","",K135*(1+M135))</f>
        <v>802.02682499999992</v>
      </c>
      <c r="O135" s="200">
        <f>K135*I135</f>
        <v>219.04500000000002</v>
      </c>
      <c r="P135" s="135">
        <f>N135*I135</f>
        <v>272.6891205</v>
      </c>
    </row>
    <row r="136" spans="2:16">
      <c r="B136" s="265" t="s">
        <v>130</v>
      </c>
      <c r="C136" s="286"/>
      <c r="D136" s="286"/>
      <c r="E136" s="265" t="s">
        <v>131</v>
      </c>
      <c r="F136" s="286"/>
      <c r="G136" s="130"/>
      <c r="H136" s="130"/>
      <c r="I136" s="130"/>
      <c r="J136" s="196" t="s">
        <v>28</v>
      </c>
      <c r="K136" s="287" t="s">
        <v>28</v>
      </c>
      <c r="L136" s="288"/>
      <c r="M136" s="116"/>
      <c r="N136" s="131"/>
      <c r="O136" s="197"/>
      <c r="P136" s="132">
        <f>P137</f>
        <v>22.335746820000001</v>
      </c>
    </row>
    <row r="137" spans="2:16">
      <c r="B137" s="282" t="s">
        <v>132</v>
      </c>
      <c r="C137" s="283"/>
      <c r="D137" s="283"/>
      <c r="E137" s="558" t="s">
        <v>133</v>
      </c>
      <c r="F137" s="563"/>
      <c r="G137" s="133" t="s">
        <v>29</v>
      </c>
      <c r="H137" s="133" t="s">
        <v>40</v>
      </c>
      <c r="I137" s="179">
        <f>I135</f>
        <v>0.34</v>
      </c>
      <c r="J137" s="198" t="s">
        <v>70</v>
      </c>
      <c r="K137" s="284">
        <v>52.77</v>
      </c>
      <c r="L137" s="285"/>
      <c r="M137" s="199">
        <f>IF(G137="", "", IFERROR(IF(G137="Mat", [1]BDI!C$31, IF(G137="MO", [1]BDI!C$17)), ""))</f>
        <v>0.24490000000000001</v>
      </c>
      <c r="N137" s="134">
        <f>IF(K137="","",K137*(1+M137))</f>
        <v>65.693372999999994</v>
      </c>
      <c r="O137" s="200">
        <f>K137*I137</f>
        <v>17.941800000000001</v>
      </c>
      <c r="P137" s="135">
        <f>N137*I137</f>
        <v>22.335746820000001</v>
      </c>
    </row>
    <row r="138" spans="2:16">
      <c r="B138" s="265" t="s">
        <v>134</v>
      </c>
      <c r="C138" s="286"/>
      <c r="D138" s="286"/>
      <c r="E138" s="265" t="s">
        <v>135</v>
      </c>
      <c r="F138" s="286"/>
      <c r="G138" s="130"/>
      <c r="H138" s="130"/>
      <c r="I138" s="130"/>
      <c r="J138" s="196" t="s">
        <v>28</v>
      </c>
      <c r="K138" s="287" t="s">
        <v>28</v>
      </c>
      <c r="L138" s="288"/>
      <c r="M138" s="116"/>
      <c r="N138" s="131"/>
      <c r="O138" s="197"/>
      <c r="P138" s="132">
        <f>P139</f>
        <v>763.74117039999987</v>
      </c>
    </row>
    <row r="139" spans="2:16">
      <c r="B139" s="282" t="s">
        <v>136</v>
      </c>
      <c r="C139" s="283"/>
      <c r="D139" s="283"/>
      <c r="E139" s="558" t="s">
        <v>137</v>
      </c>
      <c r="F139" s="563"/>
      <c r="G139" s="133" t="s">
        <v>29</v>
      </c>
      <c r="H139" s="133" t="s">
        <v>40</v>
      </c>
      <c r="I139" s="179">
        <f>Memorial!X13</f>
        <v>2.7199999999999998</v>
      </c>
      <c r="J139" s="198" t="s">
        <v>30</v>
      </c>
      <c r="K139" s="284">
        <v>225.55</v>
      </c>
      <c r="L139" s="285"/>
      <c r="M139" s="199">
        <f>IF(G139="", "", IFERROR(IF(G139="Mat", [1]BDI!C$31, IF(G139="MO", [1]BDI!C$17)), ""))</f>
        <v>0.24490000000000001</v>
      </c>
      <c r="N139" s="134">
        <f>IF(K139="","",K139*(1+M139))</f>
        <v>280.787195</v>
      </c>
      <c r="O139" s="200">
        <f>K139*I139</f>
        <v>613.49599999999998</v>
      </c>
      <c r="P139" s="135">
        <f>N139*I139</f>
        <v>763.74117039999987</v>
      </c>
    </row>
    <row r="140" spans="2:16">
      <c r="B140" s="623" t="s">
        <v>954</v>
      </c>
      <c r="C140" s="626"/>
      <c r="D140" s="626"/>
      <c r="E140" s="291" t="s">
        <v>170</v>
      </c>
      <c r="F140" s="292"/>
      <c r="G140" s="256"/>
      <c r="H140" s="256"/>
      <c r="I140" s="629"/>
      <c r="J140" s="630"/>
      <c r="K140" s="631"/>
      <c r="L140" s="632"/>
      <c r="M140" s="14"/>
      <c r="N140" s="630"/>
      <c r="O140" s="633"/>
      <c r="P140" s="569">
        <f>P141</f>
        <v>279.35182530000003</v>
      </c>
    </row>
    <row r="141" spans="2:16">
      <c r="B141" s="570" t="s">
        <v>171</v>
      </c>
      <c r="C141" s="571"/>
      <c r="D141" s="571"/>
      <c r="E141" s="570" t="s">
        <v>172</v>
      </c>
      <c r="F141" s="571"/>
      <c r="G141" s="572"/>
      <c r="H141" s="572"/>
      <c r="I141" s="573"/>
      <c r="J141" s="574"/>
      <c r="K141" s="575"/>
      <c r="L141" s="576"/>
      <c r="M141" s="13"/>
      <c r="N141" s="574"/>
      <c r="O141" s="577"/>
      <c r="P141" s="578">
        <f>P142</f>
        <v>279.35182530000003</v>
      </c>
    </row>
    <row r="142" spans="2:16">
      <c r="B142" s="324" t="s">
        <v>909</v>
      </c>
      <c r="C142" s="325"/>
      <c r="D142" s="325"/>
      <c r="E142" s="607" t="s">
        <v>910</v>
      </c>
      <c r="F142" s="608"/>
      <c r="G142" s="133" t="s">
        <v>29</v>
      </c>
      <c r="H142" s="133" t="s">
        <v>40</v>
      </c>
      <c r="I142" s="133">
        <f>Memorial!C23</f>
        <v>0.9</v>
      </c>
      <c r="J142" s="198" t="s">
        <v>30</v>
      </c>
      <c r="K142" s="259">
        <v>249.33</v>
      </c>
      <c r="L142" s="260"/>
      <c r="M142" s="199">
        <f>IF(G142="", "", IFERROR(IF(G142="Mat", [1]BDI!C$31, IF(G142="MO", [1]BDI!C$17)), ""))</f>
        <v>0.24490000000000001</v>
      </c>
      <c r="N142" s="134">
        <f>IF(K142="","",K142*(1+M142))</f>
        <v>310.390917</v>
      </c>
      <c r="O142" s="200">
        <f>K142*I142</f>
        <v>224.39700000000002</v>
      </c>
      <c r="P142" s="135">
        <f>N142*I142</f>
        <v>279.35182530000003</v>
      </c>
    </row>
    <row r="143" spans="2:16">
      <c r="B143" s="623" t="s">
        <v>955</v>
      </c>
      <c r="C143" s="623"/>
      <c r="D143" s="623"/>
      <c r="E143" s="291" t="s">
        <v>549</v>
      </c>
      <c r="F143" s="291"/>
      <c r="G143" s="188"/>
      <c r="H143" s="188"/>
      <c r="I143" s="188"/>
      <c r="J143" s="254"/>
      <c r="K143" s="579"/>
      <c r="L143" s="580"/>
      <c r="M143" s="581"/>
      <c r="N143" s="582"/>
      <c r="O143" s="583"/>
      <c r="P143" s="189">
        <f>P144+P145</f>
        <v>7536.5866663999996</v>
      </c>
    </row>
    <row r="144" spans="2:16">
      <c r="B144" s="600">
        <v>19035</v>
      </c>
      <c r="C144" s="324"/>
      <c r="D144" s="324"/>
      <c r="E144" s="607" t="s">
        <v>911</v>
      </c>
      <c r="F144" s="607"/>
      <c r="G144" s="133" t="s">
        <v>39</v>
      </c>
      <c r="H144" s="133" t="s">
        <v>308</v>
      </c>
      <c r="I144" s="133">
        <v>1</v>
      </c>
      <c r="J144" s="198" t="s">
        <v>31</v>
      </c>
      <c r="K144" s="259">
        <f>6063.76*1.1</f>
        <v>6670.1360000000004</v>
      </c>
      <c r="L144" s="260"/>
      <c r="M144" s="199">
        <f>IF(G144="", "", IFERROR(IF(G144="Mat", [1]BDI!C$31, IF(G144="MO", [1]BDI!C$17)), ""))</f>
        <v>0.12989999999999999</v>
      </c>
      <c r="N144" s="134">
        <f>IF(K144="","",K144*(1+M144))</f>
        <v>7536.5866663999996</v>
      </c>
      <c r="O144" s="200">
        <f>K144*I144</f>
        <v>6670.1360000000004</v>
      </c>
      <c r="P144" s="135">
        <f>N144*I144</f>
        <v>7536.5866663999996</v>
      </c>
    </row>
    <row r="145" spans="2:16">
      <c r="B145" s="600">
        <f>B105+1</f>
        <v>19041</v>
      </c>
      <c r="C145" s="600"/>
      <c r="D145" s="600"/>
      <c r="E145" s="613" t="s">
        <v>942</v>
      </c>
      <c r="F145" s="613"/>
      <c r="G145" s="133" t="s">
        <v>39</v>
      </c>
      <c r="H145" s="133" t="s">
        <v>308</v>
      </c>
      <c r="I145" s="133">
        <v>1</v>
      </c>
      <c r="J145" s="198" t="s">
        <v>31</v>
      </c>
      <c r="K145" s="259"/>
      <c r="L145" s="260"/>
      <c r="M145" s="199">
        <f>IF(G145="", "", IFERROR(IF(G145="Mat", [1]BDI!C$31, IF(G145="MO", [1]BDI!C$17)), ""))</f>
        <v>0.12989999999999999</v>
      </c>
      <c r="N145" s="134" t="str">
        <f>IF(K145="","",K145*(1+M145))</f>
        <v/>
      </c>
      <c r="O145" s="200">
        <f>K145*I145</f>
        <v>0</v>
      </c>
      <c r="P145" s="135"/>
    </row>
    <row r="146" spans="2:16" ht="15" customHeight="1">
      <c r="B146" s="627" t="s">
        <v>956</v>
      </c>
      <c r="C146" s="626"/>
      <c r="D146" s="626"/>
      <c r="E146" s="621" t="s">
        <v>937</v>
      </c>
      <c r="F146" s="621"/>
      <c r="G146" s="622"/>
      <c r="H146" s="127"/>
      <c r="I146" s="127"/>
      <c r="J146" s="193"/>
      <c r="K146" s="319"/>
      <c r="L146" s="320"/>
      <c r="M146" s="194"/>
      <c r="N146" s="136"/>
      <c r="O146" s="201"/>
      <c r="P146" s="189">
        <f>P147+P148</f>
        <v>8538.2463989999978</v>
      </c>
    </row>
    <row r="147" spans="2:16" ht="15" customHeight="1">
      <c r="B147" s="598" t="s">
        <v>938</v>
      </c>
      <c r="C147" s="325"/>
      <c r="D147" s="325"/>
      <c r="E147" s="607" t="s">
        <v>939</v>
      </c>
      <c r="F147" s="607"/>
      <c r="G147" s="601" t="s">
        <v>29</v>
      </c>
      <c r="H147" s="133" t="s">
        <v>40</v>
      </c>
      <c r="I147" s="133">
        <v>1</v>
      </c>
      <c r="J147" s="198" t="s">
        <v>31</v>
      </c>
      <c r="K147" s="259">
        <v>6785.58</v>
      </c>
      <c r="L147" s="260"/>
      <c r="M147" s="199">
        <f>IF(G147="", "", IFERROR(IF(G147="Mat", [1]BDI!C$31, IF(G147="MO", [1]BDI!C$17)), ""))</f>
        <v>0.24490000000000001</v>
      </c>
      <c r="N147" s="134">
        <f>IF(K147="","",K147*(1+M147))</f>
        <v>8447.3685419999983</v>
      </c>
      <c r="O147" s="200">
        <f>K147*I147</f>
        <v>6785.58</v>
      </c>
      <c r="P147" s="135">
        <f>N147*I147</f>
        <v>8447.3685419999983</v>
      </c>
    </row>
    <row r="148" spans="2:16" s="602" customFormat="1" ht="15" customHeight="1">
      <c r="B148" s="598" t="s">
        <v>940</v>
      </c>
      <c r="C148" s="325"/>
      <c r="D148" s="325"/>
      <c r="E148" s="607" t="s">
        <v>941</v>
      </c>
      <c r="F148" s="607"/>
      <c r="G148" s="595" t="s">
        <v>39</v>
      </c>
      <c r="H148" s="133" t="s">
        <v>40</v>
      </c>
      <c r="I148" s="133">
        <v>1</v>
      </c>
      <c r="J148" s="198" t="s">
        <v>31</v>
      </c>
      <c r="K148" s="567">
        <v>80.430000000000007</v>
      </c>
      <c r="L148" s="568"/>
      <c r="M148" s="199">
        <f>IF(G148="", "", IFERROR(IF(G148="Mat", [1]BDI!C$31, IF(G148="MO", [1]BDI!C$17)), ""))</f>
        <v>0.12989999999999999</v>
      </c>
      <c r="N148" s="134">
        <f>IF(K148="","",K148*(1+M148))</f>
        <v>90.877857000000006</v>
      </c>
      <c r="O148" s="200">
        <f>K148*I148</f>
        <v>80.430000000000007</v>
      </c>
      <c r="P148" s="135">
        <f>N148*I148</f>
        <v>90.877857000000006</v>
      </c>
    </row>
    <row r="149" spans="2:16">
      <c r="B149" s="624" t="s">
        <v>957</v>
      </c>
      <c r="C149" s="625"/>
      <c r="D149" s="625"/>
      <c r="E149" s="293" t="s">
        <v>176</v>
      </c>
      <c r="F149" s="314"/>
      <c r="G149" s="127"/>
      <c r="H149" s="127"/>
      <c r="I149" s="127"/>
      <c r="J149" s="193" t="s">
        <v>28</v>
      </c>
      <c r="K149" s="295"/>
      <c r="L149" s="321"/>
      <c r="M149" s="194"/>
      <c r="N149" s="136"/>
      <c r="O149" s="201"/>
      <c r="P149" s="129">
        <f>P150+P154</f>
        <v>663.10345439999992</v>
      </c>
    </row>
    <row r="150" spans="2:16">
      <c r="B150" s="265" t="s">
        <v>181</v>
      </c>
      <c r="C150" s="286"/>
      <c r="D150" s="286"/>
      <c r="E150" s="265" t="s">
        <v>182</v>
      </c>
      <c r="F150" s="286"/>
      <c r="G150" s="130"/>
      <c r="H150" s="130"/>
      <c r="I150" s="130"/>
      <c r="J150" s="196" t="s">
        <v>28</v>
      </c>
      <c r="K150" s="287"/>
      <c r="L150" s="288"/>
      <c r="M150" s="116"/>
      <c r="N150" s="131"/>
      <c r="O150" s="197"/>
      <c r="P150" s="132">
        <f>SUBTOTAL(9,P151:P153)</f>
        <v>402.44410137599999</v>
      </c>
    </row>
    <row r="151" spans="2:16">
      <c r="B151" s="282" t="s">
        <v>183</v>
      </c>
      <c r="C151" s="283"/>
      <c r="D151" s="283"/>
      <c r="E151" s="558" t="s">
        <v>184</v>
      </c>
      <c r="F151" s="563"/>
      <c r="G151" s="133" t="s">
        <v>29</v>
      </c>
      <c r="H151" s="133" t="s">
        <v>40</v>
      </c>
      <c r="I151" s="179">
        <f>Memorial!C27</f>
        <v>2.5920000000000001</v>
      </c>
      <c r="J151" s="198" t="s">
        <v>30</v>
      </c>
      <c r="K151" s="284">
        <v>17.54</v>
      </c>
      <c r="L151" s="285"/>
      <c r="M151" s="199">
        <f>IF(G151="", "", IFERROR(IF(G151="Mat", [1]BDI!C$31, IF(G151="MO", [1]BDI!C$17)), ""))</f>
        <v>0.24490000000000001</v>
      </c>
      <c r="N151" s="134">
        <f t="shared" ref="N151:N153" si="10">IF(K151="","",K151*(1+M151))</f>
        <v>21.835545999999997</v>
      </c>
      <c r="O151" s="200">
        <f t="shared" ref="O151:O153" si="11">K151*I151</f>
        <v>45.463679999999997</v>
      </c>
      <c r="P151" s="135">
        <f t="shared" ref="P151:P153" si="12">N151*I151</f>
        <v>56.597735231999998</v>
      </c>
    </row>
    <row r="152" spans="2:16">
      <c r="B152" s="282" t="s">
        <v>620</v>
      </c>
      <c r="C152" s="283"/>
      <c r="D152" s="283"/>
      <c r="E152" s="558" t="s">
        <v>621</v>
      </c>
      <c r="F152" s="563"/>
      <c r="G152" s="133" t="s">
        <v>29</v>
      </c>
      <c r="H152" s="133" t="s">
        <v>40</v>
      </c>
      <c r="I152" s="179">
        <f>I151</f>
        <v>2.5920000000000001</v>
      </c>
      <c r="J152" s="198" t="s">
        <v>30</v>
      </c>
      <c r="K152" s="284">
        <v>67.260000000000005</v>
      </c>
      <c r="L152" s="285"/>
      <c r="M152" s="199">
        <f>IF(G152="", "", IFERROR(IF(G152="Mat", [1]BDI!C$31, IF(G152="MO", [1]BDI!C$17)), ""))</f>
        <v>0.24490000000000001</v>
      </c>
      <c r="N152" s="134">
        <f t="shared" si="10"/>
        <v>83.731973999999994</v>
      </c>
      <c r="O152" s="200">
        <f t="shared" si="11"/>
        <v>174.33792000000003</v>
      </c>
      <c r="P152" s="135">
        <f t="shared" si="12"/>
        <v>217.03327660799999</v>
      </c>
    </row>
    <row r="153" spans="2:16">
      <c r="B153" s="282" t="s">
        <v>187</v>
      </c>
      <c r="C153" s="283"/>
      <c r="D153" s="283"/>
      <c r="E153" s="558" t="s">
        <v>188</v>
      </c>
      <c r="F153" s="563"/>
      <c r="G153" s="133" t="s">
        <v>29</v>
      </c>
      <c r="H153" s="133" t="s">
        <v>40</v>
      </c>
      <c r="I153" s="179">
        <f>I151</f>
        <v>2.5920000000000001</v>
      </c>
      <c r="J153" s="198" t="s">
        <v>30</v>
      </c>
      <c r="K153" s="284">
        <v>39.92</v>
      </c>
      <c r="L153" s="285"/>
      <c r="M153" s="199">
        <f>IF(G153="", "", IFERROR(IF(G153="Mat", [1]BDI!C$31, IF(G153="MO", [1]BDI!C$17)), ""))</f>
        <v>0.24490000000000001</v>
      </c>
      <c r="N153" s="134">
        <f t="shared" si="10"/>
        <v>49.696407999999998</v>
      </c>
      <c r="O153" s="200">
        <f t="shared" si="11"/>
        <v>103.47264000000001</v>
      </c>
      <c r="P153" s="135">
        <f t="shared" si="12"/>
        <v>128.81308953600001</v>
      </c>
    </row>
    <row r="154" spans="2:16">
      <c r="B154" s="265" t="s">
        <v>189</v>
      </c>
      <c r="C154" s="286"/>
      <c r="D154" s="286"/>
      <c r="E154" s="265" t="s">
        <v>190</v>
      </c>
      <c r="F154" s="286"/>
      <c r="G154" s="130"/>
      <c r="H154" s="130"/>
      <c r="I154" s="130"/>
      <c r="J154" s="196" t="s">
        <v>28</v>
      </c>
      <c r="K154" s="287"/>
      <c r="L154" s="288"/>
      <c r="M154" s="116"/>
      <c r="N154" s="131"/>
      <c r="O154" s="197"/>
      <c r="P154" s="132">
        <f>SUBTOTAL(9,P155:P159)</f>
        <v>260.65935302399998</v>
      </c>
    </row>
    <row r="155" spans="2:16">
      <c r="B155" s="282" t="s">
        <v>622</v>
      </c>
      <c r="C155" s="283"/>
      <c r="D155" s="283"/>
      <c r="E155" s="558" t="s">
        <v>623</v>
      </c>
      <c r="F155" s="563"/>
      <c r="G155" s="133" t="s">
        <v>29</v>
      </c>
      <c r="H155" s="133" t="s">
        <v>40</v>
      </c>
      <c r="I155" s="179">
        <f>I151</f>
        <v>2.5920000000000001</v>
      </c>
      <c r="J155" s="198" t="s">
        <v>30</v>
      </c>
      <c r="K155" s="284">
        <v>6.01</v>
      </c>
      <c r="L155" s="285"/>
      <c r="M155" s="199">
        <f>IF(G155="", "", IFERROR(IF(G155="Mat", [1]BDI!C$31, IF(G155="MO", [1]BDI!C$17)), ""))</f>
        <v>0.24490000000000001</v>
      </c>
      <c r="N155" s="134">
        <f t="shared" ref="N155:N159" si="13">IF(K155="","",K155*(1+M155))</f>
        <v>7.4818489999999995</v>
      </c>
      <c r="O155" s="200">
        <f t="shared" ref="O155:O159" si="14">K155*I155</f>
        <v>15.577920000000001</v>
      </c>
      <c r="P155" s="135">
        <f t="shared" ref="P155:P159" si="15">N155*I155</f>
        <v>19.392952607999998</v>
      </c>
    </row>
    <row r="156" spans="2:16">
      <c r="B156" s="282" t="s">
        <v>191</v>
      </c>
      <c r="C156" s="283"/>
      <c r="D156" s="283"/>
      <c r="E156" s="558" t="s">
        <v>192</v>
      </c>
      <c r="F156" s="563"/>
      <c r="G156" s="133" t="s">
        <v>29</v>
      </c>
      <c r="H156" s="133" t="s">
        <v>40</v>
      </c>
      <c r="I156" s="179">
        <f>I155</f>
        <v>2.5920000000000001</v>
      </c>
      <c r="J156" s="198" t="s">
        <v>30</v>
      </c>
      <c r="K156" s="284">
        <v>15.28</v>
      </c>
      <c r="L156" s="285"/>
      <c r="M156" s="199">
        <f>IF(G156="", "", IFERROR(IF(G156="Mat", [1]BDI!C$31, IF(G156="MO", [1]BDI!C$17)), ""))</f>
        <v>0.24490000000000001</v>
      </c>
      <c r="N156" s="134">
        <f t="shared" si="13"/>
        <v>19.022071999999998</v>
      </c>
      <c r="O156" s="200">
        <f t="shared" si="14"/>
        <v>39.605759999999997</v>
      </c>
      <c r="P156" s="135">
        <f t="shared" si="15"/>
        <v>49.305210623999997</v>
      </c>
    </row>
    <row r="157" spans="2:16">
      <c r="B157" s="282" t="s">
        <v>193</v>
      </c>
      <c r="C157" s="283"/>
      <c r="D157" s="283"/>
      <c r="E157" s="558" t="s">
        <v>194</v>
      </c>
      <c r="F157" s="563"/>
      <c r="G157" s="133" t="s">
        <v>29</v>
      </c>
      <c r="H157" s="133" t="s">
        <v>40</v>
      </c>
      <c r="I157" s="179">
        <f>I155</f>
        <v>2.5920000000000001</v>
      </c>
      <c r="J157" s="198" t="s">
        <v>30</v>
      </c>
      <c r="K157" s="284">
        <v>9.33</v>
      </c>
      <c r="L157" s="285"/>
      <c r="M157" s="199">
        <f>IF(G157="", "", IFERROR(IF(G157="Mat", [1]BDI!C$31, IF(G157="MO", [1]BDI!C$17)), ""))</f>
        <v>0.24490000000000001</v>
      </c>
      <c r="N157" s="134">
        <f t="shared" si="13"/>
        <v>11.614916999999998</v>
      </c>
      <c r="O157" s="200">
        <f t="shared" si="14"/>
        <v>24.18336</v>
      </c>
      <c r="P157" s="135">
        <f t="shared" si="15"/>
        <v>30.105864863999997</v>
      </c>
    </row>
    <row r="158" spans="2:16">
      <c r="B158" s="282" t="s">
        <v>197</v>
      </c>
      <c r="C158" s="283"/>
      <c r="D158" s="283"/>
      <c r="E158" s="558" t="s">
        <v>198</v>
      </c>
      <c r="F158" s="563"/>
      <c r="G158" s="133" t="s">
        <v>29</v>
      </c>
      <c r="H158" s="133" t="s">
        <v>40</v>
      </c>
      <c r="I158" s="179">
        <f>I151</f>
        <v>2.5920000000000001</v>
      </c>
      <c r="J158" s="198" t="s">
        <v>30</v>
      </c>
      <c r="K158" s="284">
        <v>23.82</v>
      </c>
      <c r="L158" s="285"/>
      <c r="M158" s="199">
        <f>IF(G158="", "", IFERROR(IF(G158="Mat", [1]BDI!C$31, IF(G158="MO", [1]BDI!C$17)), ""))</f>
        <v>0.24490000000000001</v>
      </c>
      <c r="N158" s="134">
        <f t="shared" si="13"/>
        <v>29.653517999999998</v>
      </c>
      <c r="O158" s="200">
        <f t="shared" si="14"/>
        <v>61.741440000000004</v>
      </c>
      <c r="P158" s="135">
        <f t="shared" si="15"/>
        <v>76.861918656</v>
      </c>
    </row>
    <row r="159" spans="2:16">
      <c r="B159" s="282" t="s">
        <v>199</v>
      </c>
      <c r="C159" s="283"/>
      <c r="D159" s="283"/>
      <c r="E159" s="558" t="s">
        <v>200</v>
      </c>
      <c r="F159" s="563"/>
      <c r="G159" s="133" t="s">
        <v>29</v>
      </c>
      <c r="H159" s="133" t="s">
        <v>40</v>
      </c>
      <c r="I159" s="179">
        <f>I158</f>
        <v>2.5920000000000001</v>
      </c>
      <c r="J159" s="198" t="s">
        <v>30</v>
      </c>
      <c r="K159" s="284">
        <v>26.34</v>
      </c>
      <c r="L159" s="285"/>
      <c r="M159" s="199">
        <f>IF(G159="", "", IFERROR(IF(G159="Mat", [1]BDI!C$31, IF(G159="MO", [1]BDI!C$17)), ""))</f>
        <v>0.24490000000000001</v>
      </c>
      <c r="N159" s="134">
        <f t="shared" si="13"/>
        <v>32.790665999999995</v>
      </c>
      <c r="O159" s="200">
        <f t="shared" si="14"/>
        <v>68.27328</v>
      </c>
      <c r="P159" s="135">
        <f t="shared" si="15"/>
        <v>84.993406271999987</v>
      </c>
    </row>
    <row r="160" spans="2:16">
      <c r="B160" s="624" t="s">
        <v>958</v>
      </c>
      <c r="C160" s="628"/>
      <c r="D160" s="628"/>
      <c r="E160" s="293" t="s">
        <v>204</v>
      </c>
      <c r="F160" s="294"/>
      <c r="G160" s="5"/>
      <c r="H160" s="5"/>
      <c r="I160" s="5"/>
      <c r="J160" s="193" t="s">
        <v>28</v>
      </c>
      <c r="K160" s="295" t="str">
        <f>[1]REF_TAB_PREÇOS_SANEPAR!I1181</f>
        <v/>
      </c>
      <c r="L160" s="296"/>
      <c r="M160" s="194" t="str">
        <f>IF(G160="", "", IFERROR(IF(G160="Mat", [1]BDI!C$31, IF(G160="MO", [1]BDI!C$17)), ""))</f>
        <v/>
      </c>
      <c r="N160" s="14"/>
      <c r="O160" s="201"/>
      <c r="P160" s="6">
        <f>P161+P166</f>
        <v>18879.979113999998</v>
      </c>
    </row>
    <row r="161" spans="2:16">
      <c r="B161" s="311" t="s">
        <v>215</v>
      </c>
      <c r="C161" s="312"/>
      <c r="D161" s="313"/>
      <c r="E161" s="311" t="s">
        <v>216</v>
      </c>
      <c r="F161" s="313"/>
      <c r="G161" s="8"/>
      <c r="H161" s="8"/>
      <c r="I161" s="8"/>
      <c r="J161" s="196" t="s">
        <v>28</v>
      </c>
      <c r="K161" s="263" t="str">
        <f>[1]REF_TAB_PREÇOS_SANEPAR!I1231</f>
        <v/>
      </c>
      <c r="L161" s="264"/>
      <c r="M161" s="116" t="str">
        <f>IF(G161="", "", IFERROR(IF(G161="Mat", [1]BDI!C$31, IF(G161="MO", [1]BDI!C$17)), ""))</f>
        <v/>
      </c>
      <c r="N161" s="13"/>
      <c r="O161" s="197"/>
      <c r="P161" s="9">
        <f>SUBTOTAL(9,P162:P165)</f>
        <v>3490.2265379999999</v>
      </c>
    </row>
    <row r="162" spans="2:16" ht="15" customHeight="1">
      <c r="B162" s="596" t="s">
        <v>931</v>
      </c>
      <c r="C162" s="597"/>
      <c r="D162" s="597"/>
      <c r="E162" s="607" t="s">
        <v>932</v>
      </c>
      <c r="F162" s="607"/>
      <c r="G162" s="255" t="s">
        <v>29</v>
      </c>
      <c r="H162" s="133" t="s">
        <v>40</v>
      </c>
      <c r="I162" s="181">
        <f>Elétrico!L4</f>
        <v>6</v>
      </c>
      <c r="J162" s="198" t="s">
        <v>36</v>
      </c>
      <c r="K162" s="259">
        <v>19.739999999999998</v>
      </c>
      <c r="L162" s="260"/>
      <c r="M162" s="199">
        <f>IF(G162="", "", IFERROR(IF(G162="Mat", [1]BDI!C$31, IF(G162="MO", [1]BDI!C$17)), ""))</f>
        <v>0.24490000000000001</v>
      </c>
      <c r="N162" s="11">
        <f>IF(K162="","",K162*(1+M162))</f>
        <v>24.574325999999996</v>
      </c>
      <c r="O162" s="200">
        <f>K162*I162</f>
        <v>118.44</v>
      </c>
      <c r="P162" s="12">
        <f>N162*I162</f>
        <v>147.44595599999997</v>
      </c>
    </row>
    <row r="163" spans="2:16" ht="15" customHeight="1">
      <c r="B163" s="586" t="s">
        <v>933</v>
      </c>
      <c r="C163" s="587"/>
      <c r="D163" s="588"/>
      <c r="E163" s="614" t="s">
        <v>934</v>
      </c>
      <c r="F163" s="615"/>
      <c r="G163" s="255" t="s">
        <v>29</v>
      </c>
      <c r="H163" s="133" t="s">
        <v>40</v>
      </c>
      <c r="I163" s="181">
        <f>Elétrico!L5</f>
        <v>12</v>
      </c>
      <c r="J163" s="198" t="s">
        <v>36</v>
      </c>
      <c r="K163" s="284">
        <v>144.19</v>
      </c>
      <c r="L163" s="284"/>
      <c r="M163" s="199">
        <f>IF(G163="", "", IFERROR(IF(G163="Mat", [1]BDI!C$31, IF(G163="MO", [1]BDI!C$17)), ""))</f>
        <v>0.24490000000000001</v>
      </c>
      <c r="N163" s="11">
        <f>IF(K163="","",K163*(1+M163))</f>
        <v>179.50213099999999</v>
      </c>
      <c r="O163" s="200">
        <f>K163*I163</f>
        <v>1730.28</v>
      </c>
      <c r="P163" s="12">
        <f>N163*I163</f>
        <v>2154.025572</v>
      </c>
    </row>
    <row r="164" spans="2:16">
      <c r="B164" s="308" t="s">
        <v>219</v>
      </c>
      <c r="C164" s="309"/>
      <c r="D164" s="310"/>
      <c r="E164" s="561" t="s">
        <v>220</v>
      </c>
      <c r="F164" s="562"/>
      <c r="G164" s="10" t="s">
        <v>29</v>
      </c>
      <c r="H164" s="133" t="s">
        <v>40</v>
      </c>
      <c r="I164" s="181">
        <f>Elétrico!L35</f>
        <v>30</v>
      </c>
      <c r="J164" s="198" t="s">
        <v>36</v>
      </c>
      <c r="K164" s="259">
        <f>[1]REF_TAB_PREÇOS_SANEPAR!I1261</f>
        <v>3.39</v>
      </c>
      <c r="L164" s="260"/>
      <c r="M164" s="199">
        <f>IF(G164="", "", IFERROR(IF(G164="Mat", [1]BDI!C$31, IF(G164="MO", [1]BDI!C$17)), ""))</f>
        <v>0.24490000000000001</v>
      </c>
      <c r="N164" s="11">
        <f>IF(K164="","",K164*(1+M164))</f>
        <v>4.2202109999999999</v>
      </c>
      <c r="O164" s="200">
        <f>K164*I164</f>
        <v>101.7</v>
      </c>
      <c r="P164" s="12">
        <f>N164*I164</f>
        <v>126.60633</v>
      </c>
    </row>
    <row r="165" spans="2:16">
      <c r="B165" s="308" t="s">
        <v>624</v>
      </c>
      <c r="C165" s="309"/>
      <c r="D165" s="310"/>
      <c r="E165" s="561" t="s">
        <v>625</v>
      </c>
      <c r="F165" s="562"/>
      <c r="G165" s="10" t="s">
        <v>29</v>
      </c>
      <c r="H165" s="133" t="s">
        <v>40</v>
      </c>
      <c r="I165" s="181">
        <f>Elétrico!L26+Elétrico!L27+Elétrico!L28</f>
        <v>60</v>
      </c>
      <c r="J165" s="198" t="s">
        <v>36</v>
      </c>
      <c r="K165" s="259">
        <f>[1]REF_TAB_PREÇOS_SANEPAR!I1264</f>
        <v>14.22</v>
      </c>
      <c r="L165" s="260"/>
      <c r="M165" s="199">
        <f>IF(G165="", "", IFERROR(IF(G165="Mat", [1]BDI!C$31, IF(G165="MO", [1]BDI!C$17)), ""))</f>
        <v>0.24490000000000001</v>
      </c>
      <c r="N165" s="11">
        <f>IF(K165="","",K165*(1+M165))</f>
        <v>17.702477999999999</v>
      </c>
      <c r="O165" s="200">
        <f>K165*I165</f>
        <v>853.2</v>
      </c>
      <c r="P165" s="12">
        <f>N165*I165</f>
        <v>1062.14868</v>
      </c>
    </row>
    <row r="166" spans="2:16">
      <c r="B166" s="297">
        <v>16017</v>
      </c>
      <c r="C166" s="286"/>
      <c r="D166" s="286"/>
      <c r="E166" s="265" t="s">
        <v>293</v>
      </c>
      <c r="F166" s="286"/>
      <c r="G166" s="130"/>
      <c r="H166" s="130"/>
      <c r="I166" s="130"/>
      <c r="J166" s="196" t="s">
        <v>28</v>
      </c>
      <c r="K166" s="287" t="str">
        <f>[1]REF_TAB_PREÇOS_SANEPAR!I2338</f>
        <v/>
      </c>
      <c r="L166" s="288"/>
      <c r="M166" s="116"/>
      <c r="N166" s="131"/>
      <c r="O166" s="197"/>
      <c r="P166" s="132">
        <f>P167+P168</f>
        <v>15389.752575999999</v>
      </c>
    </row>
    <row r="167" spans="2:16">
      <c r="B167" s="282" t="s">
        <v>636</v>
      </c>
      <c r="C167" s="283"/>
      <c r="D167" s="283"/>
      <c r="E167" s="558" t="s">
        <v>637</v>
      </c>
      <c r="F167" s="563"/>
      <c r="G167" s="133" t="s">
        <v>29</v>
      </c>
      <c r="H167" s="133" t="s">
        <v>40</v>
      </c>
      <c r="I167" s="222">
        <f>Elétrico!L16</f>
        <v>176</v>
      </c>
      <c r="J167" s="198" t="s">
        <v>97</v>
      </c>
      <c r="K167" s="284">
        <f>[1]REF_TAB_PREÇOS_SANEPAR!I2340</f>
        <v>31.76</v>
      </c>
      <c r="L167" s="285"/>
      <c r="M167" s="199">
        <f>IF(G167="", "", IFERROR(IF(G167="Mat", [1]BDI!C$31, IF(G167="MO", [1]BDI!C$17)), ""))</f>
        <v>0.24490000000000001</v>
      </c>
      <c r="N167" s="134">
        <f>IF(K167="","",K167*(1+M167))</f>
        <v>39.538024</v>
      </c>
      <c r="O167" s="200">
        <f>K167*I167</f>
        <v>5589.76</v>
      </c>
      <c r="P167" s="135">
        <f>N167*I167</f>
        <v>6958.6922240000004</v>
      </c>
    </row>
    <row r="168" spans="2:16">
      <c r="B168" s="282" t="s">
        <v>296</v>
      </c>
      <c r="C168" s="283"/>
      <c r="D168" s="283"/>
      <c r="E168" s="558" t="s">
        <v>297</v>
      </c>
      <c r="F168" s="563"/>
      <c r="G168" s="133" t="s">
        <v>29</v>
      </c>
      <c r="H168" s="133" t="s">
        <v>40</v>
      </c>
      <c r="I168" s="222">
        <f>Elétrico!L15</f>
        <v>176</v>
      </c>
      <c r="J168" s="198" t="s">
        <v>97</v>
      </c>
      <c r="K168" s="284">
        <f>[1]REF_TAB_PREÇOS_SANEPAR!I2341</f>
        <v>38.479999999999997</v>
      </c>
      <c r="L168" s="285"/>
      <c r="M168" s="199">
        <f>IF(G168="", "", IFERROR(IF(G168="Mat", [1]BDI!C$31, IF(G168="MO", [1]BDI!C$17)), ""))</f>
        <v>0.24490000000000001</v>
      </c>
      <c r="N168" s="134">
        <f>IF(K168="","",K168*(1+M168))</f>
        <v>47.90375199999999</v>
      </c>
      <c r="O168" s="200">
        <f>K168*I168</f>
        <v>6772.48</v>
      </c>
      <c r="P168" s="135">
        <f>N168*I168</f>
        <v>8431.0603519999986</v>
      </c>
    </row>
    <row r="169" spans="2:16">
      <c r="B169" s="624" t="s">
        <v>298</v>
      </c>
      <c r="C169" s="628"/>
      <c r="D169" s="628"/>
      <c r="E169" s="293" t="s">
        <v>299</v>
      </c>
      <c r="F169" s="294"/>
      <c r="G169" s="5"/>
      <c r="H169" s="5"/>
      <c r="I169" s="5"/>
      <c r="J169" s="193" t="s">
        <v>28</v>
      </c>
      <c r="K169" s="295" t="str">
        <f>[1]REF_TAB_PREÇOS_SANEPAR!I2357</f>
        <v/>
      </c>
      <c r="L169" s="296"/>
      <c r="M169" s="194" t="str">
        <f>IF(G169="", "", IFERROR(IF(G169="Mat", [1]BDI!C$31, IF(G169="MO", [1]BDI!C$17)), ""))</f>
        <v/>
      </c>
      <c r="N169" s="14"/>
      <c r="O169" s="201"/>
      <c r="P169" s="6">
        <f>P170+P173+P175+P177+P180+P182+P184+P186+P188+P191+P197+P200+P204+P206</f>
        <v>70022.213975999999</v>
      </c>
    </row>
    <row r="170" spans="2:16">
      <c r="B170" s="265" t="s">
        <v>638</v>
      </c>
      <c r="C170" s="289"/>
      <c r="D170" s="289"/>
      <c r="E170" s="265" t="s">
        <v>639</v>
      </c>
      <c r="F170" s="289"/>
      <c r="G170" s="8"/>
      <c r="H170" s="8"/>
      <c r="I170" s="8"/>
      <c r="J170" s="196" t="s">
        <v>28</v>
      </c>
      <c r="K170" s="287" t="str">
        <f>[1]REF_TAB_PREÇOS_SANEPAR!I2565</f>
        <v/>
      </c>
      <c r="L170" s="290"/>
      <c r="M170" s="116" t="str">
        <f>IF(G170="", "", IFERROR(IF(G170="Mat", [1]BDI!C$31, IF(G170="MO", [1]BDI!C$17)), ""))</f>
        <v/>
      </c>
      <c r="N170" s="13"/>
      <c r="O170" s="197"/>
      <c r="P170" s="9">
        <f>P171+P172</f>
        <v>59144.501856000003</v>
      </c>
    </row>
    <row r="171" spans="2:16">
      <c r="B171" s="261" t="s">
        <v>433</v>
      </c>
      <c r="C171" s="262"/>
      <c r="D171" s="262"/>
      <c r="E171" s="561" t="s">
        <v>434</v>
      </c>
      <c r="F171" s="562"/>
      <c r="G171" s="138" t="s">
        <v>29</v>
      </c>
      <c r="H171" s="133" t="s">
        <v>40</v>
      </c>
      <c r="I171" s="222">
        <f>Elétrico!L13</f>
        <v>528</v>
      </c>
      <c r="J171" s="198" t="s">
        <v>97</v>
      </c>
      <c r="K171" s="259">
        <v>51.44</v>
      </c>
      <c r="L171" s="260"/>
      <c r="M171" s="199">
        <f>IF(G171="", "", IFERROR(IF(G171="Mat", [1]BDI!C$31, IF(G171="MO", [1]BDI!C$17)), ""))</f>
        <v>0.24490000000000001</v>
      </c>
      <c r="N171" s="134">
        <f t="shared" ref="N171:N196" si="16">IF(K171="","",K171*(1+M171))</f>
        <v>64.037655999999998</v>
      </c>
      <c r="O171" s="200">
        <f t="shared" ref="O171:O196" si="17">K171*I171</f>
        <v>27160.32</v>
      </c>
      <c r="P171" s="135">
        <f t="shared" ref="P171:P196" si="18">N171*I171</f>
        <v>33811.882367999999</v>
      </c>
    </row>
    <row r="172" spans="2:16">
      <c r="B172" s="261" t="s">
        <v>435</v>
      </c>
      <c r="C172" s="262"/>
      <c r="D172" s="262"/>
      <c r="E172" s="561" t="s">
        <v>436</v>
      </c>
      <c r="F172" s="562"/>
      <c r="G172" s="138" t="s">
        <v>29</v>
      </c>
      <c r="H172" s="133" t="s">
        <v>40</v>
      </c>
      <c r="I172" s="222">
        <f>Elétrico!L14</f>
        <v>528</v>
      </c>
      <c r="J172" s="198" t="s">
        <v>97</v>
      </c>
      <c r="K172" s="259">
        <v>38.54</v>
      </c>
      <c r="L172" s="260"/>
      <c r="M172" s="199">
        <f>IF(G172="", "", IFERROR(IF(G172="Mat", [1]BDI!C$31, IF(G172="MO", [1]BDI!C$17)), ""))</f>
        <v>0.24490000000000001</v>
      </c>
      <c r="N172" s="134">
        <f t="shared" si="16"/>
        <v>47.978445999999998</v>
      </c>
      <c r="O172" s="200">
        <f t="shared" si="17"/>
        <v>20349.12</v>
      </c>
      <c r="P172" s="135">
        <f t="shared" si="18"/>
        <v>25332.619488</v>
      </c>
    </row>
    <row r="173" spans="2:16" ht="15" customHeight="1">
      <c r="B173" s="266" t="s">
        <v>461</v>
      </c>
      <c r="C173" s="267"/>
      <c r="D173" s="267"/>
      <c r="E173" s="265" t="s">
        <v>462</v>
      </c>
      <c r="F173" s="265"/>
      <c r="G173" s="140"/>
      <c r="H173" s="141"/>
      <c r="I173" s="141"/>
      <c r="J173" s="174"/>
      <c r="K173" s="280"/>
      <c r="L173" s="281"/>
      <c r="M173" s="116"/>
      <c r="N173" s="142"/>
      <c r="O173" s="214"/>
      <c r="P173" s="137">
        <f>P174</f>
        <v>58.167251999999991</v>
      </c>
    </row>
    <row r="174" spans="2:16">
      <c r="B174" s="268" t="s">
        <v>463</v>
      </c>
      <c r="C174" s="262"/>
      <c r="D174" s="262"/>
      <c r="E174" s="558" t="s">
        <v>464</v>
      </c>
      <c r="F174" s="558"/>
      <c r="G174" s="202" t="s">
        <v>39</v>
      </c>
      <c r="H174" s="133" t="s">
        <v>40</v>
      </c>
      <c r="I174" s="222">
        <f>Elétrico!L4</f>
        <v>6</v>
      </c>
      <c r="J174" s="198" t="s">
        <v>36</v>
      </c>
      <c r="K174" s="259">
        <v>8.58</v>
      </c>
      <c r="L174" s="260"/>
      <c r="M174" s="199">
        <f>IF(G174="", "", IFERROR(IF(G174="Mat", BDI!C$31, IF(G174="MO", BDI!C$17)), ""))</f>
        <v>0.12989999999999999</v>
      </c>
      <c r="N174" s="134">
        <f t="shared" si="16"/>
        <v>9.6945419999999984</v>
      </c>
      <c r="O174" s="200">
        <f t="shared" si="17"/>
        <v>51.480000000000004</v>
      </c>
      <c r="P174" s="135">
        <f t="shared" si="18"/>
        <v>58.167251999999991</v>
      </c>
    </row>
    <row r="175" spans="2:16">
      <c r="B175" s="257" t="s">
        <v>465</v>
      </c>
      <c r="C175" s="267"/>
      <c r="D175" s="267"/>
      <c r="E175" s="265" t="s">
        <v>466</v>
      </c>
      <c r="F175" s="265"/>
      <c r="G175" s="215"/>
      <c r="H175" s="130"/>
      <c r="I175" s="130"/>
      <c r="J175" s="196"/>
      <c r="K175" s="263"/>
      <c r="L175" s="264"/>
      <c r="M175" s="116"/>
      <c r="N175" s="131"/>
      <c r="O175" s="197"/>
      <c r="P175" s="137">
        <f>P176</f>
        <v>3154.4548199999995</v>
      </c>
    </row>
    <row r="176" spans="2:16">
      <c r="B176" s="261" t="s">
        <v>467</v>
      </c>
      <c r="C176" s="262"/>
      <c r="D176" s="262"/>
      <c r="E176" s="558" t="s">
        <v>468</v>
      </c>
      <c r="F176" s="558"/>
      <c r="G176" s="202" t="s">
        <v>39</v>
      </c>
      <c r="H176" s="133" t="s">
        <v>40</v>
      </c>
      <c r="I176" s="222">
        <f>Elétrico!L5</f>
        <v>12</v>
      </c>
      <c r="J176" s="198" t="s">
        <v>36</v>
      </c>
      <c r="K176" s="259">
        <v>232.65</v>
      </c>
      <c r="L176" s="260"/>
      <c r="M176" s="199">
        <f>IF(G176="", "", IFERROR(IF(G176="Mat", BDI!C$31, IF(G176="MO", BDI!C$17)), ""))</f>
        <v>0.12989999999999999</v>
      </c>
      <c r="N176" s="134">
        <f t="shared" si="16"/>
        <v>262.87123499999996</v>
      </c>
      <c r="O176" s="200">
        <f t="shared" si="17"/>
        <v>2791.8</v>
      </c>
      <c r="P176" s="135">
        <f t="shared" si="18"/>
        <v>3154.4548199999995</v>
      </c>
    </row>
    <row r="177" spans="2:16">
      <c r="B177" s="266" t="s">
        <v>469</v>
      </c>
      <c r="C177" s="267"/>
      <c r="D177" s="267"/>
      <c r="E177" s="265" t="s">
        <v>470</v>
      </c>
      <c r="F177" s="265"/>
      <c r="G177" s="215"/>
      <c r="H177" s="130"/>
      <c r="I177" s="130"/>
      <c r="J177" s="196"/>
      <c r="K177" s="263"/>
      <c r="L177" s="264"/>
      <c r="M177" s="116"/>
      <c r="N177" s="131"/>
      <c r="O177" s="197"/>
      <c r="P177" s="137">
        <f>P178+P179</f>
        <v>578.96075999999994</v>
      </c>
    </row>
    <row r="178" spans="2:16">
      <c r="B178" s="268" t="s">
        <v>473</v>
      </c>
      <c r="C178" s="262"/>
      <c r="D178" s="262"/>
      <c r="E178" s="558" t="s">
        <v>474</v>
      </c>
      <c r="F178" s="558"/>
      <c r="G178" s="202" t="s">
        <v>39</v>
      </c>
      <c r="H178" s="133" t="s">
        <v>40</v>
      </c>
      <c r="I178" s="222">
        <f>Elétrico!L6</f>
        <v>7</v>
      </c>
      <c r="J178" s="198" t="s">
        <v>31</v>
      </c>
      <c r="K178" s="259">
        <v>63.26</v>
      </c>
      <c r="L178" s="260"/>
      <c r="M178" s="199">
        <f>IF(G178="", "", IFERROR(IF(G178="Mat", BDI!C$31, IF(G178="MO", BDI!C$17)), ""))</f>
        <v>0.12989999999999999</v>
      </c>
      <c r="N178" s="134">
        <f t="shared" si="16"/>
        <v>71.477473999999987</v>
      </c>
      <c r="O178" s="200">
        <f t="shared" si="17"/>
        <v>442.82</v>
      </c>
      <c r="P178" s="135">
        <f t="shared" si="18"/>
        <v>500.34231799999992</v>
      </c>
    </row>
    <row r="179" spans="2:16" ht="15" customHeight="1">
      <c r="B179" s="261" t="s">
        <v>715</v>
      </c>
      <c r="C179" s="262"/>
      <c r="D179" s="262"/>
      <c r="E179" s="616" t="s">
        <v>716</v>
      </c>
      <c r="F179" s="616"/>
      <c r="G179" s="139" t="s">
        <v>39</v>
      </c>
      <c r="H179" s="133" t="s">
        <v>40</v>
      </c>
      <c r="I179" s="222">
        <f>Elétrico!L7</f>
        <v>1</v>
      </c>
      <c r="J179" s="198" t="s">
        <v>31</v>
      </c>
      <c r="K179" s="259">
        <v>69.58</v>
      </c>
      <c r="L179" s="260"/>
      <c r="M179" s="199">
        <f>IF(G179="", "", IFERROR(IF(G179="Mat", BDI!C$31, IF(G179="MO", BDI!C$17)), ""))</f>
        <v>0.12989999999999999</v>
      </c>
      <c r="N179" s="134">
        <f t="shared" si="16"/>
        <v>78.618441999999988</v>
      </c>
      <c r="O179" s="200">
        <f t="shared" si="17"/>
        <v>69.58</v>
      </c>
      <c r="P179" s="135">
        <f t="shared" si="18"/>
        <v>78.618441999999988</v>
      </c>
    </row>
    <row r="180" spans="2:16">
      <c r="B180" s="257" t="s">
        <v>475</v>
      </c>
      <c r="C180" s="267"/>
      <c r="D180" s="267"/>
      <c r="E180" s="265" t="s">
        <v>476</v>
      </c>
      <c r="F180" s="265"/>
      <c r="G180" s="215"/>
      <c r="H180" s="130"/>
      <c r="I180" s="130"/>
      <c r="J180" s="196"/>
      <c r="K180" s="263"/>
      <c r="L180" s="264"/>
      <c r="M180" s="116"/>
      <c r="N180" s="131"/>
      <c r="O180" s="197"/>
      <c r="P180" s="137">
        <f>P181</f>
        <v>429.35070099999996</v>
      </c>
    </row>
    <row r="181" spans="2:16">
      <c r="B181" s="261" t="s">
        <v>477</v>
      </c>
      <c r="C181" s="262"/>
      <c r="D181" s="262"/>
      <c r="E181" s="558" t="s">
        <v>478</v>
      </c>
      <c r="F181" s="558"/>
      <c r="G181" s="202" t="s">
        <v>39</v>
      </c>
      <c r="H181" s="133" t="s">
        <v>40</v>
      </c>
      <c r="I181" s="222">
        <f>Elétrico!L8</f>
        <v>1</v>
      </c>
      <c r="J181" s="198" t="s">
        <v>31</v>
      </c>
      <c r="K181" s="259">
        <v>379.99</v>
      </c>
      <c r="L181" s="260"/>
      <c r="M181" s="199">
        <f>IF(G181="", "", IFERROR(IF(G181="Mat", BDI!C$31, IF(G181="MO", BDI!C$17)), ""))</f>
        <v>0.12989999999999999</v>
      </c>
      <c r="N181" s="134">
        <f t="shared" si="16"/>
        <v>429.35070099999996</v>
      </c>
      <c r="O181" s="200">
        <f t="shared" si="17"/>
        <v>379.99</v>
      </c>
      <c r="P181" s="135">
        <f t="shared" si="18"/>
        <v>429.35070099999996</v>
      </c>
    </row>
    <row r="182" spans="2:16">
      <c r="B182" s="266" t="s">
        <v>453</v>
      </c>
      <c r="C182" s="267"/>
      <c r="D182" s="267"/>
      <c r="E182" s="265" t="s">
        <v>454</v>
      </c>
      <c r="F182" s="265"/>
      <c r="G182" s="215"/>
      <c r="H182" s="130"/>
      <c r="I182" s="130"/>
      <c r="J182" s="196"/>
      <c r="K182" s="263"/>
      <c r="L182" s="264"/>
      <c r="M182" s="116"/>
      <c r="N182" s="131"/>
      <c r="O182" s="197"/>
      <c r="P182" s="137">
        <f>P183</f>
        <v>1262.0982999999999</v>
      </c>
    </row>
    <row r="183" spans="2:16">
      <c r="B183" s="261" t="s">
        <v>455</v>
      </c>
      <c r="C183" s="262"/>
      <c r="D183" s="262"/>
      <c r="E183" s="558" t="s">
        <v>456</v>
      </c>
      <c r="F183" s="558"/>
      <c r="G183" s="202" t="s">
        <v>39</v>
      </c>
      <c r="H183" s="133" t="s">
        <v>40</v>
      </c>
      <c r="I183" s="222">
        <f>Elétrico!L19</f>
        <v>20</v>
      </c>
      <c r="J183" s="198" t="s">
        <v>31</v>
      </c>
      <c r="K183" s="259">
        <v>55.85</v>
      </c>
      <c r="L183" s="260"/>
      <c r="M183" s="199">
        <f>IF(G183="", "", IFERROR(IF(G183="Mat", BDI!C$31, IF(G183="MO", BDI!C$17)), ""))</f>
        <v>0.12989999999999999</v>
      </c>
      <c r="N183" s="134">
        <f t="shared" si="16"/>
        <v>63.104914999999998</v>
      </c>
      <c r="O183" s="200">
        <f t="shared" si="17"/>
        <v>1117</v>
      </c>
      <c r="P183" s="135">
        <f t="shared" si="18"/>
        <v>1262.0982999999999</v>
      </c>
    </row>
    <row r="184" spans="2:16" ht="15" customHeight="1">
      <c r="B184" s="592" t="s">
        <v>495</v>
      </c>
      <c r="C184" s="593"/>
      <c r="D184" s="594"/>
      <c r="E184" s="311" t="s">
        <v>496</v>
      </c>
      <c r="F184" s="313"/>
      <c r="G184" s="215"/>
      <c r="H184" s="130"/>
      <c r="I184" s="130"/>
      <c r="J184" s="196"/>
      <c r="K184" s="263"/>
      <c r="L184" s="264"/>
      <c r="M184" s="116"/>
      <c r="N184" s="131"/>
      <c r="O184" s="197"/>
      <c r="P184" s="137">
        <f>P185</f>
        <v>1049.7335949999999</v>
      </c>
    </row>
    <row r="185" spans="2:16" ht="15" customHeight="1">
      <c r="B185" s="589">
        <v>42018017</v>
      </c>
      <c r="C185" s="590"/>
      <c r="D185" s="591"/>
      <c r="E185" s="561" t="s">
        <v>930</v>
      </c>
      <c r="F185" s="562"/>
      <c r="G185" s="202" t="s">
        <v>39</v>
      </c>
      <c r="H185" s="133" t="s">
        <v>40</v>
      </c>
      <c r="I185" s="133">
        <f>Elétrico!O21</f>
        <v>5</v>
      </c>
      <c r="J185" s="198" t="s">
        <v>31</v>
      </c>
      <c r="K185" s="259">
        <v>185.81</v>
      </c>
      <c r="L185" s="260"/>
      <c r="M185" s="199">
        <f>IF(G185="", "", IFERROR(IF(G185="Mat", BDI!C$31, IF(G185="MO", BDI!C$17)), ""))</f>
        <v>0.12989999999999999</v>
      </c>
      <c r="N185" s="134">
        <f t="shared" si="16"/>
        <v>209.94671899999997</v>
      </c>
      <c r="O185" s="200">
        <f t="shared" si="17"/>
        <v>929.05</v>
      </c>
      <c r="P185" s="135">
        <f t="shared" si="18"/>
        <v>1049.7335949999999</v>
      </c>
    </row>
    <row r="186" spans="2:16">
      <c r="B186" s="257" t="s">
        <v>483</v>
      </c>
      <c r="C186" s="267"/>
      <c r="D186" s="267"/>
      <c r="E186" s="265" t="s">
        <v>484</v>
      </c>
      <c r="F186" s="265"/>
      <c r="G186" s="215"/>
      <c r="H186" s="130"/>
      <c r="I186" s="130"/>
      <c r="J186" s="196"/>
      <c r="K186" s="263"/>
      <c r="L186" s="264"/>
      <c r="M186" s="116"/>
      <c r="N186" s="131"/>
      <c r="O186" s="197"/>
      <c r="P186" s="137">
        <f>P187</f>
        <v>51.466944999999988</v>
      </c>
    </row>
    <row r="187" spans="2:16">
      <c r="B187" s="268" t="s">
        <v>485</v>
      </c>
      <c r="C187" s="262"/>
      <c r="D187" s="262"/>
      <c r="E187" s="558" t="s">
        <v>717</v>
      </c>
      <c r="F187" s="558"/>
      <c r="G187" s="202" t="s">
        <v>39</v>
      </c>
      <c r="H187" s="133" t="s">
        <v>40</v>
      </c>
      <c r="I187" s="222">
        <f>Elétrico!L23</f>
        <v>5</v>
      </c>
      <c r="J187" s="198" t="s">
        <v>36</v>
      </c>
      <c r="K187" s="259">
        <v>9.11</v>
      </c>
      <c r="L187" s="260"/>
      <c r="M187" s="199">
        <f>IF(G187="", "", IFERROR(IF(G187="Mat", BDI!C$31, IF(G187="MO", BDI!C$17)), ""))</f>
        <v>0.12989999999999999</v>
      </c>
      <c r="N187" s="134">
        <f t="shared" si="16"/>
        <v>10.293388999999998</v>
      </c>
      <c r="O187" s="200">
        <f t="shared" si="17"/>
        <v>45.55</v>
      </c>
      <c r="P187" s="135">
        <f t="shared" si="18"/>
        <v>51.466944999999988</v>
      </c>
    </row>
    <row r="188" spans="2:16" ht="15" customHeight="1">
      <c r="B188" s="266" t="s">
        <v>453</v>
      </c>
      <c r="C188" s="266"/>
      <c r="D188" s="266"/>
      <c r="E188" s="266" t="s">
        <v>454</v>
      </c>
      <c r="F188" s="266"/>
      <c r="G188" s="143"/>
      <c r="H188" s="130"/>
      <c r="I188" s="130"/>
      <c r="J188" s="196"/>
      <c r="K188" s="263"/>
      <c r="L188" s="264"/>
      <c r="M188" s="116"/>
      <c r="N188" s="131"/>
      <c r="O188" s="197"/>
      <c r="P188" s="137">
        <f>P189+P190</f>
        <v>1002.6732599999999</v>
      </c>
    </row>
    <row r="189" spans="2:16" ht="15" customHeight="1">
      <c r="B189" s="261" t="s">
        <v>720</v>
      </c>
      <c r="C189" s="261"/>
      <c r="D189" s="261"/>
      <c r="E189" s="617" t="s">
        <v>721</v>
      </c>
      <c r="F189" s="617"/>
      <c r="G189" s="139" t="s">
        <v>39</v>
      </c>
      <c r="H189" s="133" t="s">
        <v>40</v>
      </c>
      <c r="I189" s="222">
        <f>Elétrico!L32+Elétrico!L33+Elétrico!L34</f>
        <v>60</v>
      </c>
      <c r="J189" s="198" t="s">
        <v>36</v>
      </c>
      <c r="K189" s="259">
        <v>10.29</v>
      </c>
      <c r="L189" s="260"/>
      <c r="M189" s="199">
        <f>IF(G189="", "", IFERROR(IF(G189="Mat", BDI!C$31, IF(G189="MO", BDI!C$17)), ""))</f>
        <v>0.12989999999999999</v>
      </c>
      <c r="N189" s="134">
        <f t="shared" si="16"/>
        <v>11.626670999999998</v>
      </c>
      <c r="O189" s="200">
        <f t="shared" si="17"/>
        <v>617.4</v>
      </c>
      <c r="P189" s="135">
        <f t="shared" si="18"/>
        <v>697.60025999999993</v>
      </c>
    </row>
    <row r="190" spans="2:16" ht="15" customHeight="1">
      <c r="B190" s="606">
        <f>B145+1</f>
        <v>19042</v>
      </c>
      <c r="C190" s="262"/>
      <c r="D190" s="262"/>
      <c r="E190" s="617" t="s">
        <v>936</v>
      </c>
      <c r="F190" s="617"/>
      <c r="G190" s="202" t="s">
        <v>39</v>
      </c>
      <c r="H190" s="133" t="s">
        <v>308</v>
      </c>
      <c r="I190" s="222">
        <f>Elétrico!L35</f>
        <v>30</v>
      </c>
      <c r="J190" s="198" t="s">
        <v>36</v>
      </c>
      <c r="K190" s="259">
        <v>9</v>
      </c>
      <c r="L190" s="260"/>
      <c r="M190" s="199">
        <f>IF(G190="", "", IFERROR(IF(G190="Mat", BDI!C$31, IF(G190="MO", BDI!C$17)), ""))</f>
        <v>0.12989999999999999</v>
      </c>
      <c r="N190" s="134">
        <f>IF(K190="","",K190*(1+M190))</f>
        <v>10.169099999999998</v>
      </c>
      <c r="O190" s="200">
        <f>K190*I190</f>
        <v>270</v>
      </c>
      <c r="P190" s="135">
        <f>N190*I190</f>
        <v>305.07299999999998</v>
      </c>
    </row>
    <row r="191" spans="2:16" ht="15" customHeight="1">
      <c r="B191" s="266" t="s">
        <v>457</v>
      </c>
      <c r="C191" s="267"/>
      <c r="D191" s="267"/>
      <c r="E191" s="265" t="s">
        <v>458</v>
      </c>
      <c r="F191" s="265"/>
      <c r="G191" s="215"/>
      <c r="H191" s="130"/>
      <c r="I191" s="130"/>
      <c r="J191" s="196"/>
      <c r="K191" s="263"/>
      <c r="L191" s="264"/>
      <c r="M191" s="116"/>
      <c r="N191" s="131"/>
      <c r="O191" s="197"/>
      <c r="P191" s="137">
        <f>P192+P193+P194+P195+P196</f>
        <v>1214.2131379999998</v>
      </c>
    </row>
    <row r="192" spans="2:16" ht="15" customHeight="1">
      <c r="B192" s="268" t="s">
        <v>459</v>
      </c>
      <c r="C192" s="262"/>
      <c r="D192" s="262"/>
      <c r="E192" s="558" t="s">
        <v>460</v>
      </c>
      <c r="F192" s="558"/>
      <c r="G192" s="202" t="s">
        <v>39</v>
      </c>
      <c r="H192" s="133" t="s">
        <v>40</v>
      </c>
      <c r="I192" s="222">
        <f>Elétrico!L36</f>
        <v>10</v>
      </c>
      <c r="J192" s="198" t="s">
        <v>36</v>
      </c>
      <c r="K192" s="259">
        <v>9.76</v>
      </c>
      <c r="L192" s="260"/>
      <c r="M192" s="199">
        <f>IF(G192="", "", IFERROR(IF(G192="Mat", BDI!C$31, IF(G192="MO", BDI!C$17)), ""))</f>
        <v>0.12989999999999999</v>
      </c>
      <c r="N192" s="134">
        <f>IF(K192="","",K192*(1+M192))</f>
        <v>11.027823999999999</v>
      </c>
      <c r="O192" s="200">
        <f>K192*I192</f>
        <v>97.6</v>
      </c>
      <c r="P192" s="135">
        <f>N192*I192</f>
        <v>110.27823999999998</v>
      </c>
    </row>
    <row r="193" spans="2:16">
      <c r="B193" s="258" t="s">
        <v>862</v>
      </c>
      <c r="C193" s="258"/>
      <c r="D193" s="258"/>
      <c r="E193" s="558" t="s">
        <v>525</v>
      </c>
      <c r="F193" s="558"/>
      <c r="G193" s="202" t="s">
        <v>39</v>
      </c>
      <c r="H193" s="133" t="s">
        <v>308</v>
      </c>
      <c r="I193" s="222">
        <f>Elétrico!L24</f>
        <v>1</v>
      </c>
      <c r="J193" s="198" t="s">
        <v>31</v>
      </c>
      <c r="K193" s="259">
        <v>56.87</v>
      </c>
      <c r="L193" s="260"/>
      <c r="M193" s="199">
        <f>IF(G193="", "", IFERROR(IF(G193="Mat", BDI!C$31, IF(G193="MO", BDI!C$17)), ""))</f>
        <v>0.12989999999999999</v>
      </c>
      <c r="N193" s="134">
        <f t="shared" si="16"/>
        <v>64.257412999999985</v>
      </c>
      <c r="O193" s="200">
        <f t="shared" si="17"/>
        <v>56.87</v>
      </c>
      <c r="P193" s="135">
        <f t="shared" si="18"/>
        <v>64.257412999999985</v>
      </c>
    </row>
    <row r="194" spans="2:16" ht="14.45" customHeight="1">
      <c r="B194" s="258" t="s">
        <v>863</v>
      </c>
      <c r="C194" s="258"/>
      <c r="D194" s="258"/>
      <c r="E194" s="558" t="s">
        <v>524</v>
      </c>
      <c r="F194" s="558"/>
      <c r="G194" s="202" t="s">
        <v>39</v>
      </c>
      <c r="H194" s="133" t="s">
        <v>308</v>
      </c>
      <c r="I194" s="222">
        <f>Elétrico!L22</f>
        <v>5</v>
      </c>
      <c r="J194" s="198" t="s">
        <v>31</v>
      </c>
      <c r="K194" s="275">
        <v>7.06</v>
      </c>
      <c r="L194" s="276"/>
      <c r="M194" s="199">
        <f>IF(G194="", "", IFERROR(IF(G194="Mat", BDI!C$31, IF(G194="MO", BDI!C$17)), ""))</f>
        <v>0.12989999999999999</v>
      </c>
      <c r="N194" s="134">
        <f t="shared" si="16"/>
        <v>7.9770939999999992</v>
      </c>
      <c r="O194" s="200">
        <f t="shared" si="17"/>
        <v>35.299999999999997</v>
      </c>
      <c r="P194" s="135">
        <f t="shared" si="18"/>
        <v>39.885469999999998</v>
      </c>
    </row>
    <row r="195" spans="2:16" ht="14.45" customHeight="1">
      <c r="B195" s="258" t="s">
        <v>864</v>
      </c>
      <c r="C195" s="258"/>
      <c r="D195" s="258"/>
      <c r="E195" s="558" t="s">
        <v>523</v>
      </c>
      <c r="F195" s="558"/>
      <c r="G195" s="204" t="s">
        <v>39</v>
      </c>
      <c r="H195" s="205" t="s">
        <v>308</v>
      </c>
      <c r="I195" s="222">
        <f>Elétrico!L20</f>
        <v>1</v>
      </c>
      <c r="J195" s="206" t="s">
        <v>31</v>
      </c>
      <c r="K195" s="271">
        <v>497.65</v>
      </c>
      <c r="L195" s="272"/>
      <c r="M195" s="199">
        <f>IF(G195="", "", IFERROR(IF(G195="Mat", BDI!C$31, IF(G195="MO", BDI!C$17)), ""))</f>
        <v>0.12989999999999999</v>
      </c>
      <c r="N195" s="134">
        <f t="shared" si="16"/>
        <v>562.29473499999995</v>
      </c>
      <c r="O195" s="207">
        <f t="shared" si="17"/>
        <v>497.65</v>
      </c>
      <c r="P195" s="208">
        <f t="shared" si="18"/>
        <v>562.29473499999995</v>
      </c>
    </row>
    <row r="196" spans="2:16" ht="14.45" customHeight="1">
      <c r="B196" s="258" t="s">
        <v>865</v>
      </c>
      <c r="C196" s="258"/>
      <c r="D196" s="258"/>
      <c r="E196" s="558" t="s">
        <v>522</v>
      </c>
      <c r="F196" s="558"/>
      <c r="G196" s="204" t="s">
        <v>39</v>
      </c>
      <c r="H196" s="205" t="s">
        <v>308</v>
      </c>
      <c r="I196" s="222">
        <f>Elétrico!L11</f>
        <v>1</v>
      </c>
      <c r="J196" s="206" t="s">
        <v>31</v>
      </c>
      <c r="K196" s="271">
        <v>387.2</v>
      </c>
      <c r="L196" s="272"/>
      <c r="M196" s="199">
        <f>IF(G196="", "", IFERROR(IF(G196="Mat", BDI!C$31, IF(G196="MO", BDI!C$17)), ""))</f>
        <v>0.12989999999999999</v>
      </c>
      <c r="N196" s="134">
        <f t="shared" si="16"/>
        <v>437.49727999999993</v>
      </c>
      <c r="O196" s="207">
        <f t="shared" si="17"/>
        <v>387.2</v>
      </c>
      <c r="P196" s="208">
        <f t="shared" si="18"/>
        <v>437.49727999999993</v>
      </c>
    </row>
    <row r="197" spans="2:16">
      <c r="B197" s="361" t="s">
        <v>408</v>
      </c>
      <c r="C197" s="362"/>
      <c r="D197" s="362"/>
      <c r="E197" s="273" t="s">
        <v>409</v>
      </c>
      <c r="F197" s="273"/>
      <c r="G197" s="211"/>
      <c r="H197" s="210"/>
      <c r="I197" s="130"/>
      <c r="J197" s="211"/>
      <c r="K197" s="274"/>
      <c r="L197" s="274"/>
      <c r="M197" s="116"/>
      <c r="N197" s="131"/>
      <c r="O197" s="212"/>
      <c r="P197" s="213">
        <f>P198+P199</f>
        <v>169.55538000000001</v>
      </c>
    </row>
    <row r="198" spans="2:16">
      <c r="B198" s="277" t="s">
        <v>410</v>
      </c>
      <c r="C198" s="278"/>
      <c r="D198" s="278"/>
      <c r="E198" s="618" t="s">
        <v>411</v>
      </c>
      <c r="F198" s="618"/>
      <c r="G198" s="206" t="s">
        <v>29</v>
      </c>
      <c r="H198" s="133" t="s">
        <v>40</v>
      </c>
      <c r="I198" s="222">
        <f>Elétrico!L4</f>
        <v>6</v>
      </c>
      <c r="J198" s="206" t="s">
        <v>36</v>
      </c>
      <c r="K198" s="279">
        <v>20.010000000000002</v>
      </c>
      <c r="L198" s="279"/>
      <c r="M198" s="199">
        <f>IF(G198="", "", IFERROR(IF(G198="Mat", BDI!C$31, IF(G198="MO", BDI!C$17)), ""))</f>
        <v>0.24490000000000001</v>
      </c>
      <c r="N198" s="134">
        <f t="shared" ref="N198:N205" si="19">IF(K198="","",K198*(1+M198))</f>
        <v>24.910449</v>
      </c>
      <c r="O198" s="207">
        <f t="shared" ref="O198:O205" si="20">K198*I198</f>
        <v>120.06</v>
      </c>
      <c r="P198" s="208">
        <f t="shared" ref="P198:P205" si="21">N198*I198</f>
        <v>149.462694</v>
      </c>
    </row>
    <row r="199" spans="2:16" ht="15.75" customHeight="1">
      <c r="B199" s="277" t="s">
        <v>412</v>
      </c>
      <c r="C199" s="278"/>
      <c r="D199" s="278"/>
      <c r="E199" s="618" t="s">
        <v>413</v>
      </c>
      <c r="F199" s="618"/>
      <c r="G199" s="206" t="s">
        <v>29</v>
      </c>
      <c r="H199" s="133" t="s">
        <v>40</v>
      </c>
      <c r="I199" s="222">
        <f>Elétrico!L4</f>
        <v>6</v>
      </c>
      <c r="J199" s="206" t="s">
        <v>31</v>
      </c>
      <c r="K199" s="279">
        <v>2.69</v>
      </c>
      <c r="L199" s="279"/>
      <c r="M199" s="199">
        <f>IF(G199="", "", IFERROR(IF(G199="Mat", BDI!C$31, IF(G199="MO", BDI!C$17)), ""))</f>
        <v>0.24490000000000001</v>
      </c>
      <c r="N199" s="134">
        <f t="shared" si="19"/>
        <v>3.3487809999999998</v>
      </c>
      <c r="O199" s="207">
        <f t="shared" si="20"/>
        <v>16.14</v>
      </c>
      <c r="P199" s="208">
        <f t="shared" si="21"/>
        <v>20.092686</v>
      </c>
    </row>
    <row r="200" spans="2:16" ht="15.75" customHeight="1">
      <c r="B200" s="361" t="s">
        <v>414</v>
      </c>
      <c r="C200" s="362"/>
      <c r="D200" s="362"/>
      <c r="E200" s="273" t="s">
        <v>415</v>
      </c>
      <c r="F200" s="273"/>
      <c r="G200" s="211"/>
      <c r="H200" s="210"/>
      <c r="I200" s="130"/>
      <c r="J200" s="211"/>
      <c r="K200" s="274"/>
      <c r="L200" s="274"/>
      <c r="M200" s="116"/>
      <c r="N200" s="131"/>
      <c r="O200" s="212"/>
      <c r="P200" s="213">
        <f>P201+P202+P203</f>
        <v>832.52687500000002</v>
      </c>
    </row>
    <row r="201" spans="2:16" ht="15.75" customHeight="1">
      <c r="B201" s="277" t="s">
        <v>416</v>
      </c>
      <c r="C201" s="278"/>
      <c r="D201" s="278"/>
      <c r="E201" s="618" t="s">
        <v>417</v>
      </c>
      <c r="F201" s="618"/>
      <c r="G201" s="206" t="s">
        <v>29</v>
      </c>
      <c r="H201" s="133" t="s">
        <v>40</v>
      </c>
      <c r="I201" s="222">
        <f>Elétrico!L19</f>
        <v>20</v>
      </c>
      <c r="J201" s="206" t="s">
        <v>36</v>
      </c>
      <c r="K201" s="279">
        <v>20.010000000000002</v>
      </c>
      <c r="L201" s="279"/>
      <c r="M201" s="199">
        <f>IF(G201="", "", IFERROR(IF(G201="Mat", BDI!C$31, IF(G201="MO", BDI!C$17)), ""))</f>
        <v>0.24490000000000001</v>
      </c>
      <c r="N201" s="134">
        <f t="shared" si="19"/>
        <v>24.910449</v>
      </c>
      <c r="O201" s="207">
        <f t="shared" si="20"/>
        <v>400.20000000000005</v>
      </c>
      <c r="P201" s="208">
        <f t="shared" si="21"/>
        <v>498.20898</v>
      </c>
    </row>
    <row r="202" spans="2:16" ht="15.75" customHeight="1">
      <c r="B202" s="277" t="s">
        <v>418</v>
      </c>
      <c r="C202" s="278"/>
      <c r="D202" s="278"/>
      <c r="E202" s="618" t="s">
        <v>419</v>
      </c>
      <c r="F202" s="618"/>
      <c r="G202" s="206" t="s">
        <v>29</v>
      </c>
      <c r="H202" s="133" t="s">
        <v>40</v>
      </c>
      <c r="I202" s="222">
        <f>Elétrico!L19</f>
        <v>20</v>
      </c>
      <c r="J202" s="206" t="s">
        <v>36</v>
      </c>
      <c r="K202" s="279">
        <v>2.1800000000000002</v>
      </c>
      <c r="L202" s="279"/>
      <c r="M202" s="199">
        <f>IF(G202="", "", IFERROR(IF(G202="Mat", BDI!C$31, IF(G202="MO", BDI!C$17)), ""))</f>
        <v>0.24490000000000001</v>
      </c>
      <c r="N202" s="134">
        <f t="shared" si="19"/>
        <v>2.7138819999999999</v>
      </c>
      <c r="O202" s="207">
        <f t="shared" si="20"/>
        <v>43.6</v>
      </c>
      <c r="P202" s="208">
        <f t="shared" si="21"/>
        <v>54.277639999999998</v>
      </c>
    </row>
    <row r="203" spans="2:16" ht="15.75" customHeight="1">
      <c r="B203" s="277" t="s">
        <v>420</v>
      </c>
      <c r="C203" s="278"/>
      <c r="D203" s="278"/>
      <c r="E203" s="618" t="s">
        <v>421</v>
      </c>
      <c r="F203" s="618"/>
      <c r="G203" s="206" t="s">
        <v>29</v>
      </c>
      <c r="H203" s="133" t="s">
        <v>40</v>
      </c>
      <c r="I203" s="133">
        <f>Elétrico!O21</f>
        <v>5</v>
      </c>
      <c r="J203" s="206" t="s">
        <v>31</v>
      </c>
      <c r="K203" s="279">
        <v>44.99</v>
      </c>
      <c r="L203" s="279"/>
      <c r="M203" s="199">
        <f>IF(G203="", "", IFERROR(IF(G203="Mat", BDI!C$31, IF(G203="MO", BDI!C$17)), ""))</f>
        <v>0.24490000000000001</v>
      </c>
      <c r="N203" s="134">
        <f t="shared" si="19"/>
        <v>56.008050999999995</v>
      </c>
      <c r="O203" s="207">
        <f t="shared" si="20"/>
        <v>224.95000000000002</v>
      </c>
      <c r="P203" s="208">
        <f t="shared" si="21"/>
        <v>280.040255</v>
      </c>
    </row>
    <row r="204" spans="2:16" ht="15.75" customHeight="1">
      <c r="B204" s="361" t="s">
        <v>432</v>
      </c>
      <c r="C204" s="367"/>
      <c r="D204" s="367"/>
      <c r="E204" s="363" t="s">
        <v>284</v>
      </c>
      <c r="F204" s="364"/>
      <c r="G204" s="209"/>
      <c r="H204" s="210"/>
      <c r="I204" s="130"/>
      <c r="J204" s="211"/>
      <c r="K204" s="317"/>
      <c r="L204" s="318"/>
      <c r="M204" s="116"/>
      <c r="N204" s="131"/>
      <c r="O204" s="212"/>
      <c r="P204" s="213">
        <f>P205</f>
        <v>506.61205499999994</v>
      </c>
    </row>
    <row r="205" spans="2:16" ht="15.75" customHeight="1">
      <c r="B205" s="368" t="s">
        <v>722</v>
      </c>
      <c r="C205" s="369"/>
      <c r="D205" s="369"/>
      <c r="E205" s="611" t="s">
        <v>723</v>
      </c>
      <c r="F205" s="612"/>
      <c r="G205" s="204" t="s">
        <v>29</v>
      </c>
      <c r="H205" s="133" t="s">
        <v>40</v>
      </c>
      <c r="I205" s="10">
        <v>1</v>
      </c>
      <c r="J205" s="206" t="s">
        <v>31</v>
      </c>
      <c r="K205" s="271">
        <v>406.95</v>
      </c>
      <c r="L205" s="272"/>
      <c r="M205" s="203">
        <f>IF(G205="", "", IFERROR(IF(G205="Mat", BDI!C$31, IF(G205="MO", BDI!C$17)), ""))</f>
        <v>0.24490000000000001</v>
      </c>
      <c r="N205" s="11">
        <f t="shared" si="19"/>
        <v>506.61205499999994</v>
      </c>
      <c r="O205" s="207">
        <f t="shared" si="20"/>
        <v>406.95</v>
      </c>
      <c r="P205" s="112">
        <f t="shared" si="21"/>
        <v>506.61205499999994</v>
      </c>
    </row>
    <row r="206" spans="2:16" ht="15.75" customHeight="1">
      <c r="B206" s="361" t="s">
        <v>487</v>
      </c>
      <c r="C206" s="362"/>
      <c r="D206" s="362"/>
      <c r="E206" s="363" t="s">
        <v>488</v>
      </c>
      <c r="F206" s="364"/>
      <c r="G206" s="216"/>
      <c r="H206" s="217"/>
      <c r="I206" s="190"/>
      <c r="J206" s="218"/>
      <c r="K206" s="365"/>
      <c r="L206" s="366"/>
      <c r="M206" s="219"/>
      <c r="N206" s="191"/>
      <c r="O206" s="220"/>
      <c r="P206" s="221">
        <f>P207</f>
        <v>567.89903900000002</v>
      </c>
    </row>
    <row r="207" spans="2:16" ht="15.75" customHeight="1">
      <c r="B207" s="268" t="s">
        <v>489</v>
      </c>
      <c r="C207" s="262"/>
      <c r="D207" s="262"/>
      <c r="E207" s="618" t="s">
        <v>490</v>
      </c>
      <c r="F207" s="618"/>
      <c r="G207" s="204" t="s">
        <v>39</v>
      </c>
      <c r="H207" s="133" t="s">
        <v>40</v>
      </c>
      <c r="I207" s="133">
        <v>1</v>
      </c>
      <c r="J207" s="206" t="s">
        <v>31</v>
      </c>
      <c r="K207" s="271">
        <v>502.61</v>
      </c>
      <c r="L207" s="272"/>
      <c r="M207" s="199">
        <f>IF(G207="", "", IFERROR(IF(G207="Mat", BDI!C$31, IF(G207="MO", BDI!C$17)), ""))</f>
        <v>0.12989999999999999</v>
      </c>
      <c r="N207" s="134">
        <f>IF(K207="","",K207*(1+M207))</f>
        <v>567.89903900000002</v>
      </c>
      <c r="O207" s="207">
        <f>K207*I207</f>
        <v>502.61</v>
      </c>
      <c r="P207" s="208">
        <f>N207*I207</f>
        <v>567.89903900000002</v>
      </c>
    </row>
    <row r="208" spans="2:16" ht="15.75" customHeight="1">
      <c r="B208" s="359" t="s">
        <v>289</v>
      </c>
      <c r="C208" s="360"/>
      <c r="D208" s="360"/>
      <c r="E208" s="359" t="s">
        <v>290</v>
      </c>
      <c r="F208" s="360"/>
      <c r="G208" s="224"/>
      <c r="H208" s="224"/>
      <c r="I208" s="224"/>
      <c r="J208" s="225" t="s">
        <v>28</v>
      </c>
      <c r="K208" s="357"/>
      <c r="L208" s="358"/>
      <c r="M208" s="226"/>
      <c r="N208" s="229"/>
      <c r="O208" s="228"/>
      <c r="P208" s="245">
        <f>P209</f>
        <v>353.00384399999996</v>
      </c>
    </row>
    <row r="209" spans="2:16" ht="15.75" customHeight="1">
      <c r="B209" s="282" t="s">
        <v>291</v>
      </c>
      <c r="C209" s="283"/>
      <c r="D209" s="283"/>
      <c r="E209" s="558" t="s">
        <v>292</v>
      </c>
      <c r="F209" s="563"/>
      <c r="G209" s="133" t="s">
        <v>29</v>
      </c>
      <c r="H209" s="133" t="s">
        <v>40</v>
      </c>
      <c r="I209" s="179">
        <f>Memorial!C15</f>
        <v>25.5</v>
      </c>
      <c r="J209" s="198" t="s">
        <v>30</v>
      </c>
      <c r="K209" s="284">
        <v>11.12</v>
      </c>
      <c r="L209" s="285"/>
      <c r="M209" s="199">
        <f>IF(G209="", "", IFERROR(IF(G209="Mat", BDI!C$31, IF(G209="MO", BDI!C$17)), ""))</f>
        <v>0.24490000000000001</v>
      </c>
      <c r="N209" s="134">
        <f>IF(K209="","",K209*(1+M209))</f>
        <v>13.843287999999998</v>
      </c>
      <c r="O209" s="200">
        <f>K209*I209</f>
        <v>283.56</v>
      </c>
      <c r="P209" s="135">
        <f>N209*I209</f>
        <v>353.00384399999996</v>
      </c>
    </row>
    <row r="210" spans="2:16" ht="15" customHeight="1">
      <c r="B210" s="269" t="s">
        <v>640</v>
      </c>
      <c r="C210" s="269"/>
      <c r="D210" s="269"/>
      <c r="E210" s="269"/>
      <c r="F210" s="269"/>
      <c r="G210" s="270"/>
      <c r="H210" s="269"/>
      <c r="I210" s="269"/>
      <c r="J210" s="269"/>
      <c r="K210" s="269"/>
      <c r="L210" s="269"/>
      <c r="M210" s="269"/>
      <c r="N210" s="269"/>
      <c r="O210" s="144">
        <f>SUM(O16:O197)</f>
        <v>301103.77251174237</v>
      </c>
      <c r="P210" s="144">
        <f>P14+P38+P106+P129+P208</f>
        <v>355834.60967986792</v>
      </c>
    </row>
  </sheetData>
  <autoFilter ref="B13:P210" xr:uid="{201FF0C9-671C-4D47-A7CE-8133A1243FF7}">
    <filterColumn colId="0" showButton="0"/>
    <filterColumn colId="1" showButton="0"/>
    <filterColumn colId="3" showButton="0"/>
    <filterColumn colId="9" showButton="0"/>
  </autoFilter>
  <mergeCells count="616">
    <mergeCell ref="B105:D105"/>
    <mergeCell ref="K104:L104"/>
    <mergeCell ref="E104:F104"/>
    <mergeCell ref="B104:D104"/>
    <mergeCell ref="E105:F105"/>
    <mergeCell ref="K105:L105"/>
    <mergeCell ref="K163:L163"/>
    <mergeCell ref="E163:F163"/>
    <mergeCell ref="B163:D163"/>
    <mergeCell ref="K147:L147"/>
    <mergeCell ref="K146:L146"/>
    <mergeCell ref="E147:F147"/>
    <mergeCell ref="E146:F146"/>
    <mergeCell ref="B147:D147"/>
    <mergeCell ref="B146:D146"/>
    <mergeCell ref="K148:L148"/>
    <mergeCell ref="E148:F148"/>
    <mergeCell ref="B148:D148"/>
    <mergeCell ref="B159:D159"/>
    <mergeCell ref="E159:F159"/>
    <mergeCell ref="K159:L159"/>
    <mergeCell ref="B152:D152"/>
    <mergeCell ref="E152:F152"/>
    <mergeCell ref="K152:L152"/>
    <mergeCell ref="B153:D153"/>
    <mergeCell ref="E153:F153"/>
    <mergeCell ref="K153:L153"/>
    <mergeCell ref="B154:D154"/>
    <mergeCell ref="E154:F154"/>
    <mergeCell ref="K154:L154"/>
    <mergeCell ref="B155:D155"/>
    <mergeCell ref="E155:F155"/>
    <mergeCell ref="K155:L155"/>
    <mergeCell ref="B156:D156"/>
    <mergeCell ref="E156:F156"/>
    <mergeCell ref="K156:L156"/>
    <mergeCell ref="B157:D157"/>
    <mergeCell ref="E157:F157"/>
    <mergeCell ref="K157:L157"/>
    <mergeCell ref="B158:D158"/>
    <mergeCell ref="E158:F158"/>
    <mergeCell ref="K158:L158"/>
    <mergeCell ref="B149:D149"/>
    <mergeCell ref="E149:F149"/>
    <mergeCell ref="K149:L149"/>
    <mergeCell ref="B150:D150"/>
    <mergeCell ref="E150:F150"/>
    <mergeCell ref="K150:L150"/>
    <mergeCell ref="B151:D151"/>
    <mergeCell ref="E151:F151"/>
    <mergeCell ref="K151:L151"/>
    <mergeCell ref="B143:D143"/>
    <mergeCell ref="E143:F143"/>
    <mergeCell ref="K143:L143"/>
    <mergeCell ref="B144:D144"/>
    <mergeCell ref="E144:F144"/>
    <mergeCell ref="K144:L144"/>
    <mergeCell ref="B145:D145"/>
    <mergeCell ref="E145:F145"/>
    <mergeCell ref="K145:L145"/>
    <mergeCell ref="B140:D140"/>
    <mergeCell ref="E140:F140"/>
    <mergeCell ref="K140:L140"/>
    <mergeCell ref="B141:D141"/>
    <mergeCell ref="E141:F141"/>
    <mergeCell ref="K141:L141"/>
    <mergeCell ref="B142:D142"/>
    <mergeCell ref="E142:F142"/>
    <mergeCell ref="K142:L142"/>
    <mergeCell ref="B137:D137"/>
    <mergeCell ref="E137:F137"/>
    <mergeCell ref="K137:L137"/>
    <mergeCell ref="B138:D138"/>
    <mergeCell ref="E138:F138"/>
    <mergeCell ref="K138:L138"/>
    <mergeCell ref="B139:D139"/>
    <mergeCell ref="E139:F139"/>
    <mergeCell ref="K139:L139"/>
    <mergeCell ref="B134:D134"/>
    <mergeCell ref="E134:F134"/>
    <mergeCell ref="K134:L134"/>
    <mergeCell ref="B135:D135"/>
    <mergeCell ref="E135:F135"/>
    <mergeCell ref="K135:L135"/>
    <mergeCell ref="B136:D136"/>
    <mergeCell ref="E136:F136"/>
    <mergeCell ref="K136:L136"/>
    <mergeCell ref="K113:L113"/>
    <mergeCell ref="E114:F114"/>
    <mergeCell ref="E113:F113"/>
    <mergeCell ref="B114:D114"/>
    <mergeCell ref="B113:D113"/>
    <mergeCell ref="B204:D204"/>
    <mergeCell ref="E204:F204"/>
    <mergeCell ref="K204:L204"/>
    <mergeCell ref="B205:D205"/>
    <mergeCell ref="E205:F205"/>
    <mergeCell ref="K205:L205"/>
    <mergeCell ref="K114:L114"/>
    <mergeCell ref="B130:D130"/>
    <mergeCell ref="E130:F130"/>
    <mergeCell ref="K130:L130"/>
    <mergeCell ref="B131:D131"/>
    <mergeCell ref="E131:F131"/>
    <mergeCell ref="K131:L131"/>
    <mergeCell ref="E13:F13"/>
    <mergeCell ref="K13:L13"/>
    <mergeCell ref="B15:D15"/>
    <mergeCell ref="E15:F15"/>
    <mergeCell ref="K15:L15"/>
    <mergeCell ref="K208:L208"/>
    <mergeCell ref="K209:L209"/>
    <mergeCell ref="B209:D209"/>
    <mergeCell ref="B208:D208"/>
    <mergeCell ref="B207:D207"/>
    <mergeCell ref="B206:D206"/>
    <mergeCell ref="E206:F206"/>
    <mergeCell ref="E207:F207"/>
    <mergeCell ref="E208:F208"/>
    <mergeCell ref="E209:F209"/>
    <mergeCell ref="K201:L201"/>
    <mergeCell ref="B202:D202"/>
    <mergeCell ref="E202:F202"/>
    <mergeCell ref="K202:L202"/>
    <mergeCell ref="B203:D203"/>
    <mergeCell ref="E203:F203"/>
    <mergeCell ref="K203:L203"/>
    <mergeCell ref="K206:L206"/>
    <mergeCell ref="K207:L207"/>
    <mergeCell ref="I5:J5"/>
    <mergeCell ref="K5:M5"/>
    <mergeCell ref="B1:P2"/>
    <mergeCell ref="B3:E12"/>
    <mergeCell ref="F3:H12"/>
    <mergeCell ref="I3:J3"/>
    <mergeCell ref="K3:M3"/>
    <mergeCell ref="N3:P12"/>
    <mergeCell ref="I4:J4"/>
    <mergeCell ref="K4:M4"/>
    <mergeCell ref="I6:J6"/>
    <mergeCell ref="K6:M6"/>
    <mergeCell ref="I11:J11"/>
    <mergeCell ref="K11:M11"/>
    <mergeCell ref="I12:J12"/>
    <mergeCell ref="K12:M12"/>
    <mergeCell ref="I8:J8"/>
    <mergeCell ref="K8:M8"/>
    <mergeCell ref="I10:J10"/>
    <mergeCell ref="K10:M10"/>
    <mergeCell ref="I7:J7"/>
    <mergeCell ref="K7:M7"/>
    <mergeCell ref="I9:J9"/>
    <mergeCell ref="K9:M9"/>
    <mergeCell ref="K21:L21"/>
    <mergeCell ref="B19:D19"/>
    <mergeCell ref="E19:F19"/>
    <mergeCell ref="K19:L19"/>
    <mergeCell ref="B20:D20"/>
    <mergeCell ref="E20:F20"/>
    <mergeCell ref="K20:L20"/>
    <mergeCell ref="B21:D21"/>
    <mergeCell ref="E21:F21"/>
    <mergeCell ref="B18:D18"/>
    <mergeCell ref="E18:F18"/>
    <mergeCell ref="K18:L18"/>
    <mergeCell ref="B17:D17"/>
    <mergeCell ref="E17:F17"/>
    <mergeCell ref="K17:L17"/>
    <mergeCell ref="B16:D16"/>
    <mergeCell ref="E16:F16"/>
    <mergeCell ref="K16:L16"/>
    <mergeCell ref="B14:D14"/>
    <mergeCell ref="E14:F14"/>
    <mergeCell ref="K14:L14"/>
    <mergeCell ref="B13:D13"/>
    <mergeCell ref="B24:D24"/>
    <mergeCell ref="E24:F24"/>
    <mergeCell ref="K24:L24"/>
    <mergeCell ref="B23:D23"/>
    <mergeCell ref="E23:F23"/>
    <mergeCell ref="K23:L23"/>
    <mergeCell ref="B22:D22"/>
    <mergeCell ref="E22:F22"/>
    <mergeCell ref="K22:L22"/>
    <mergeCell ref="B27:D27"/>
    <mergeCell ref="E27:F27"/>
    <mergeCell ref="K27:L27"/>
    <mergeCell ref="B25:D25"/>
    <mergeCell ref="E25:F25"/>
    <mergeCell ref="K25:L25"/>
    <mergeCell ref="B26:D26"/>
    <mergeCell ref="E26:F26"/>
    <mergeCell ref="K26:L26"/>
    <mergeCell ref="B30:D30"/>
    <mergeCell ref="E30:F30"/>
    <mergeCell ref="K30:L30"/>
    <mergeCell ref="B31:D31"/>
    <mergeCell ref="E31:F31"/>
    <mergeCell ref="K31:L31"/>
    <mergeCell ref="B28:D28"/>
    <mergeCell ref="E28:F28"/>
    <mergeCell ref="K28:L28"/>
    <mergeCell ref="B29:D29"/>
    <mergeCell ref="E29:F29"/>
    <mergeCell ref="K29:L29"/>
    <mergeCell ref="B34:D34"/>
    <mergeCell ref="E34:F34"/>
    <mergeCell ref="K34:L34"/>
    <mergeCell ref="B33:D33"/>
    <mergeCell ref="E33:F33"/>
    <mergeCell ref="K33:L33"/>
    <mergeCell ref="B32:D32"/>
    <mergeCell ref="E32:F32"/>
    <mergeCell ref="K32:L32"/>
    <mergeCell ref="B37:D37"/>
    <mergeCell ref="E37:F37"/>
    <mergeCell ref="K37:L37"/>
    <mergeCell ref="B35:D35"/>
    <mergeCell ref="E35:F35"/>
    <mergeCell ref="K35:L35"/>
    <mergeCell ref="B36:D36"/>
    <mergeCell ref="E36:F36"/>
    <mergeCell ref="K36:L36"/>
    <mergeCell ref="B39:D39"/>
    <mergeCell ref="E39:F39"/>
    <mergeCell ref="K39:L39"/>
    <mergeCell ref="B38:D38"/>
    <mergeCell ref="E38:F38"/>
    <mergeCell ref="K38:L38"/>
    <mergeCell ref="B42:D42"/>
    <mergeCell ref="E42:F42"/>
    <mergeCell ref="K42:L42"/>
    <mergeCell ref="B41:D41"/>
    <mergeCell ref="E41:F41"/>
    <mergeCell ref="K41:L41"/>
    <mergeCell ref="B40:D40"/>
    <mergeCell ref="E40:F40"/>
    <mergeCell ref="K40:L40"/>
    <mergeCell ref="B45:D45"/>
    <mergeCell ref="E45:F45"/>
    <mergeCell ref="K45:L45"/>
    <mergeCell ref="B44:D44"/>
    <mergeCell ref="E44:F44"/>
    <mergeCell ref="K44:L44"/>
    <mergeCell ref="B43:D43"/>
    <mergeCell ref="E43:F43"/>
    <mergeCell ref="K43:L43"/>
    <mergeCell ref="B47:D47"/>
    <mergeCell ref="E47:F47"/>
    <mergeCell ref="K47:L47"/>
    <mergeCell ref="B48:D48"/>
    <mergeCell ref="E48:F48"/>
    <mergeCell ref="K48:L48"/>
    <mergeCell ref="B46:D46"/>
    <mergeCell ref="E46:F46"/>
    <mergeCell ref="K46:L46"/>
    <mergeCell ref="B50:D50"/>
    <mergeCell ref="E50:F50"/>
    <mergeCell ref="K50:L50"/>
    <mergeCell ref="B49:D49"/>
    <mergeCell ref="E49:F49"/>
    <mergeCell ref="K49:L49"/>
    <mergeCell ref="B51:D51"/>
    <mergeCell ref="E51:F51"/>
    <mergeCell ref="K51:L51"/>
    <mergeCell ref="B54:D54"/>
    <mergeCell ref="E54:F54"/>
    <mergeCell ref="K54:L54"/>
    <mergeCell ref="B53:D53"/>
    <mergeCell ref="E53:F53"/>
    <mergeCell ref="K53:L53"/>
    <mergeCell ref="B52:D52"/>
    <mergeCell ref="E52:F52"/>
    <mergeCell ref="K52:L52"/>
    <mergeCell ref="B55:D55"/>
    <mergeCell ref="E55:F55"/>
    <mergeCell ref="K55:L55"/>
    <mergeCell ref="B56:D56"/>
    <mergeCell ref="E56:F56"/>
    <mergeCell ref="K56:L56"/>
    <mergeCell ref="B57:D57"/>
    <mergeCell ref="E57:F57"/>
    <mergeCell ref="K57:L57"/>
    <mergeCell ref="B59:D59"/>
    <mergeCell ref="E59:F59"/>
    <mergeCell ref="K59:L59"/>
    <mergeCell ref="B58:D58"/>
    <mergeCell ref="E58:F58"/>
    <mergeCell ref="K58:L58"/>
    <mergeCell ref="B62:D62"/>
    <mergeCell ref="E62:F62"/>
    <mergeCell ref="K62:L62"/>
    <mergeCell ref="B61:D61"/>
    <mergeCell ref="E61:F61"/>
    <mergeCell ref="K61:L61"/>
    <mergeCell ref="B60:D60"/>
    <mergeCell ref="E60:F60"/>
    <mergeCell ref="K60:L60"/>
    <mergeCell ref="B64:D64"/>
    <mergeCell ref="E64:F64"/>
    <mergeCell ref="K64:L64"/>
    <mergeCell ref="B65:D65"/>
    <mergeCell ref="E65:F65"/>
    <mergeCell ref="K65:L65"/>
    <mergeCell ref="B63:D63"/>
    <mergeCell ref="E63:F63"/>
    <mergeCell ref="K63:L63"/>
    <mergeCell ref="B66:D66"/>
    <mergeCell ref="E66:F66"/>
    <mergeCell ref="K66:L66"/>
    <mergeCell ref="B68:D68"/>
    <mergeCell ref="E68:F68"/>
    <mergeCell ref="K68:L68"/>
    <mergeCell ref="B126:D126"/>
    <mergeCell ref="E126:F126"/>
    <mergeCell ref="K126:L126"/>
    <mergeCell ref="B67:D67"/>
    <mergeCell ref="E67:F67"/>
    <mergeCell ref="K67:L67"/>
    <mergeCell ref="B69:D69"/>
    <mergeCell ref="E69:F69"/>
    <mergeCell ref="K69:L69"/>
    <mergeCell ref="B82:D82"/>
    <mergeCell ref="E82:F82"/>
    <mergeCell ref="K82:L82"/>
    <mergeCell ref="B80:D80"/>
    <mergeCell ref="E80:F80"/>
    <mergeCell ref="K80:L80"/>
    <mergeCell ref="B74:D74"/>
    <mergeCell ref="E74:F74"/>
    <mergeCell ref="K74:L74"/>
    <mergeCell ref="B81:D81"/>
    <mergeCell ref="E81:F81"/>
    <mergeCell ref="K81:L81"/>
    <mergeCell ref="B70:D70"/>
    <mergeCell ref="E70:F70"/>
    <mergeCell ref="K70:L70"/>
    <mergeCell ref="E78:F78"/>
    <mergeCell ref="K78:L78"/>
    <mergeCell ref="K77:L77"/>
    <mergeCell ref="B78:D78"/>
    <mergeCell ref="B106:D106"/>
    <mergeCell ref="E106:F106"/>
    <mergeCell ref="K106:L106"/>
    <mergeCell ref="B77:D77"/>
    <mergeCell ref="E77:F77"/>
    <mergeCell ref="B71:D71"/>
    <mergeCell ref="E71:F71"/>
    <mergeCell ref="K71:L71"/>
    <mergeCell ref="B76:D76"/>
    <mergeCell ref="E76:F76"/>
    <mergeCell ref="K76:L76"/>
    <mergeCell ref="B73:D73"/>
    <mergeCell ref="E73:F73"/>
    <mergeCell ref="K73:L73"/>
    <mergeCell ref="B75:D75"/>
    <mergeCell ref="E75:F75"/>
    <mergeCell ref="K75:L75"/>
    <mergeCell ref="B72:D72"/>
    <mergeCell ref="E72:F72"/>
    <mergeCell ref="K72:L72"/>
    <mergeCell ref="B95:D95"/>
    <mergeCell ref="E95:F95"/>
    <mergeCell ref="K95:L95"/>
    <mergeCell ref="B94:D94"/>
    <mergeCell ref="E94:F94"/>
    <mergeCell ref="K94:L94"/>
    <mergeCell ref="B98:D98"/>
    <mergeCell ref="E98:F98"/>
    <mergeCell ref="K98:L98"/>
    <mergeCell ref="B97:D97"/>
    <mergeCell ref="E97:F97"/>
    <mergeCell ref="K97:L97"/>
    <mergeCell ref="B96:D96"/>
    <mergeCell ref="E96:F96"/>
    <mergeCell ref="K96:L96"/>
    <mergeCell ref="B79:D79"/>
    <mergeCell ref="E79:F79"/>
    <mergeCell ref="K79:L79"/>
    <mergeCell ref="B83:D83"/>
    <mergeCell ref="E83:F83"/>
    <mergeCell ref="K83:L83"/>
    <mergeCell ref="E120:F120"/>
    <mergeCell ref="K120:L120"/>
    <mergeCell ref="B108:D108"/>
    <mergeCell ref="E108:F108"/>
    <mergeCell ref="K108:L108"/>
    <mergeCell ref="B112:D112"/>
    <mergeCell ref="E112:F112"/>
    <mergeCell ref="K112:L112"/>
    <mergeCell ref="B109:D109"/>
    <mergeCell ref="K111:L111"/>
    <mergeCell ref="B128:D128"/>
    <mergeCell ref="E128:F128"/>
    <mergeCell ref="K128:L128"/>
    <mergeCell ref="K89:L89"/>
    <mergeCell ref="B88:D88"/>
    <mergeCell ref="E88:F88"/>
    <mergeCell ref="K88:L88"/>
    <mergeCell ref="K123:L123"/>
    <mergeCell ref="B117:D117"/>
    <mergeCell ref="E117:F117"/>
    <mergeCell ref="K117:L117"/>
    <mergeCell ref="B116:D116"/>
    <mergeCell ref="E116:F116"/>
    <mergeCell ref="K116:L116"/>
    <mergeCell ref="B90:D90"/>
    <mergeCell ref="E90:F90"/>
    <mergeCell ref="K90:L90"/>
    <mergeCell ref="B93:D93"/>
    <mergeCell ref="E93:F93"/>
    <mergeCell ref="K93:L93"/>
    <mergeCell ref="K110:L110"/>
    <mergeCell ref="B111:D111"/>
    <mergeCell ref="E111:F111"/>
    <mergeCell ref="B102:D102"/>
    <mergeCell ref="E102:F102"/>
    <mergeCell ref="K102:L102"/>
    <mergeCell ref="B118:D118"/>
    <mergeCell ref="K87:L87"/>
    <mergeCell ref="B101:D101"/>
    <mergeCell ref="E101:F101"/>
    <mergeCell ref="K101:L101"/>
    <mergeCell ref="B107:D107"/>
    <mergeCell ref="E107:F107"/>
    <mergeCell ref="K107:L107"/>
    <mergeCell ref="B103:D103"/>
    <mergeCell ref="E103:F103"/>
    <mergeCell ref="K103:L103"/>
    <mergeCell ref="B84:D84"/>
    <mergeCell ref="E84:F84"/>
    <mergeCell ref="K84:L84"/>
    <mergeCell ref="B124:D124"/>
    <mergeCell ref="E124:F124"/>
    <mergeCell ref="K124:L124"/>
    <mergeCell ref="B125:D125"/>
    <mergeCell ref="E125:F125"/>
    <mergeCell ref="K125:L125"/>
    <mergeCell ref="B119:D119"/>
    <mergeCell ref="E119:F119"/>
    <mergeCell ref="K119:L119"/>
    <mergeCell ref="B89:D89"/>
    <mergeCell ref="E89:F89"/>
    <mergeCell ref="B92:D92"/>
    <mergeCell ref="E92:F92"/>
    <mergeCell ref="K92:L92"/>
    <mergeCell ref="E109:F109"/>
    <mergeCell ref="K109:L109"/>
    <mergeCell ref="B110:D110"/>
    <mergeCell ref="E110:F110"/>
    <mergeCell ref="K86:L86"/>
    <mergeCell ref="B87:D87"/>
    <mergeCell ref="E87:F87"/>
    <mergeCell ref="B85:D85"/>
    <mergeCell ref="E85:F85"/>
    <mergeCell ref="K85:L85"/>
    <mergeCell ref="B127:D127"/>
    <mergeCell ref="E127:F127"/>
    <mergeCell ref="K127:L127"/>
    <mergeCell ref="B122:D122"/>
    <mergeCell ref="E122:F122"/>
    <mergeCell ref="K122:L122"/>
    <mergeCell ref="B86:D86"/>
    <mergeCell ref="E86:F86"/>
    <mergeCell ref="B91:D91"/>
    <mergeCell ref="E91:F91"/>
    <mergeCell ref="K91:L91"/>
    <mergeCell ref="B165:D165"/>
    <mergeCell ref="E165:F165"/>
    <mergeCell ref="K165:L165"/>
    <mergeCell ref="B164:D164"/>
    <mergeCell ref="E164:F164"/>
    <mergeCell ref="K164:L164"/>
    <mergeCell ref="B160:D160"/>
    <mergeCell ref="E160:F160"/>
    <mergeCell ref="K160:L160"/>
    <mergeCell ref="B162:D162"/>
    <mergeCell ref="E162:F162"/>
    <mergeCell ref="K162:L162"/>
    <mergeCell ref="B161:D161"/>
    <mergeCell ref="E161:F161"/>
    <mergeCell ref="K161:L161"/>
    <mergeCell ref="B100:D100"/>
    <mergeCell ref="E100:F100"/>
    <mergeCell ref="K100:L100"/>
    <mergeCell ref="B99:D99"/>
    <mergeCell ref="E99:F99"/>
    <mergeCell ref="K99:L99"/>
    <mergeCell ref="B115:D115"/>
    <mergeCell ref="E115:F115"/>
    <mergeCell ref="K115:L115"/>
    <mergeCell ref="B121:D121"/>
    <mergeCell ref="E121:F121"/>
    <mergeCell ref="K121:L121"/>
    <mergeCell ref="E118:F118"/>
    <mergeCell ref="K118:L118"/>
    <mergeCell ref="B120:D120"/>
    <mergeCell ref="B129:D129"/>
    <mergeCell ref="E129:F129"/>
    <mergeCell ref="K129:L129"/>
    <mergeCell ref="B132:D132"/>
    <mergeCell ref="E132:F132"/>
    <mergeCell ref="K132:L132"/>
    <mergeCell ref="B133:D133"/>
    <mergeCell ref="E133:F133"/>
    <mergeCell ref="K133:L133"/>
    <mergeCell ref="B169:D169"/>
    <mergeCell ref="E169:F169"/>
    <mergeCell ref="K169:L169"/>
    <mergeCell ref="B168:D168"/>
    <mergeCell ref="E168:F168"/>
    <mergeCell ref="K168:L168"/>
    <mergeCell ref="B166:D166"/>
    <mergeCell ref="E166:F166"/>
    <mergeCell ref="K166:L166"/>
    <mergeCell ref="B167:D167"/>
    <mergeCell ref="E167:F167"/>
    <mergeCell ref="K167:L167"/>
    <mergeCell ref="K171:L171"/>
    <mergeCell ref="B174:D174"/>
    <mergeCell ref="E174:F174"/>
    <mergeCell ref="K172:L172"/>
    <mergeCell ref="E171:F171"/>
    <mergeCell ref="E172:F172"/>
    <mergeCell ref="B172:D172"/>
    <mergeCell ref="B171:D171"/>
    <mergeCell ref="K174:L174"/>
    <mergeCell ref="B170:D170"/>
    <mergeCell ref="E170:F170"/>
    <mergeCell ref="K170:L170"/>
    <mergeCell ref="B123:D123"/>
    <mergeCell ref="E123:F123"/>
    <mergeCell ref="K175:L175"/>
    <mergeCell ref="K173:L173"/>
    <mergeCell ref="B182:D182"/>
    <mergeCell ref="E182:F182"/>
    <mergeCell ref="K182:L182"/>
    <mergeCell ref="B183:D183"/>
    <mergeCell ref="E183:F183"/>
    <mergeCell ref="K183:L183"/>
    <mergeCell ref="B180:D180"/>
    <mergeCell ref="E180:F180"/>
    <mergeCell ref="K180:L180"/>
    <mergeCell ref="B181:D181"/>
    <mergeCell ref="E181:F181"/>
    <mergeCell ref="K181:L181"/>
    <mergeCell ref="B178:D178"/>
    <mergeCell ref="E178:F178"/>
    <mergeCell ref="K178:L178"/>
    <mergeCell ref="B179:D179"/>
    <mergeCell ref="E179:F179"/>
    <mergeCell ref="K179:L179"/>
    <mergeCell ref="B175:D175"/>
    <mergeCell ref="E175:F175"/>
    <mergeCell ref="B173:D173"/>
    <mergeCell ref="E173:F173"/>
    <mergeCell ref="B184:D184"/>
    <mergeCell ref="E184:F184"/>
    <mergeCell ref="K184:L184"/>
    <mergeCell ref="B185:D185"/>
    <mergeCell ref="E185:F185"/>
    <mergeCell ref="K185:L185"/>
    <mergeCell ref="B176:D176"/>
    <mergeCell ref="E176:F176"/>
    <mergeCell ref="K176:L176"/>
    <mergeCell ref="B177:D177"/>
    <mergeCell ref="E177:F177"/>
    <mergeCell ref="K177:L177"/>
    <mergeCell ref="B188:D188"/>
    <mergeCell ref="E188:F188"/>
    <mergeCell ref="K188:L188"/>
    <mergeCell ref="B189:D189"/>
    <mergeCell ref="E189:F189"/>
    <mergeCell ref="K189:L189"/>
    <mergeCell ref="B186:D186"/>
    <mergeCell ref="E186:F186"/>
    <mergeCell ref="K186:L186"/>
    <mergeCell ref="B187:D187"/>
    <mergeCell ref="E187:F187"/>
    <mergeCell ref="K187:L187"/>
    <mergeCell ref="B210:N210"/>
    <mergeCell ref="B196:D196"/>
    <mergeCell ref="E196:F196"/>
    <mergeCell ref="K196:L196"/>
    <mergeCell ref="E197:F197"/>
    <mergeCell ref="K197:L197"/>
    <mergeCell ref="B194:D194"/>
    <mergeCell ref="E194:F194"/>
    <mergeCell ref="K194:L194"/>
    <mergeCell ref="B195:D195"/>
    <mergeCell ref="E195:F195"/>
    <mergeCell ref="K195:L195"/>
    <mergeCell ref="B199:D199"/>
    <mergeCell ref="E199:F199"/>
    <mergeCell ref="K199:L199"/>
    <mergeCell ref="B197:D197"/>
    <mergeCell ref="B198:D198"/>
    <mergeCell ref="E198:F198"/>
    <mergeCell ref="K198:L198"/>
    <mergeCell ref="B200:D200"/>
    <mergeCell ref="E200:F200"/>
    <mergeCell ref="K200:L200"/>
    <mergeCell ref="B201:D201"/>
    <mergeCell ref="E201:F201"/>
    <mergeCell ref="B193:D193"/>
    <mergeCell ref="E193:F193"/>
    <mergeCell ref="K193:L193"/>
    <mergeCell ref="K190:L190"/>
    <mergeCell ref="E190:F190"/>
    <mergeCell ref="B190:D190"/>
    <mergeCell ref="K191:L191"/>
    <mergeCell ref="E191:F191"/>
    <mergeCell ref="B191:D191"/>
    <mergeCell ref="B192:D192"/>
    <mergeCell ref="E192:F192"/>
    <mergeCell ref="K192:L192"/>
  </mergeCells>
  <dataValidations count="1">
    <dataValidation type="list" allowBlank="1" showInputMessage="1" showErrorMessage="1" sqref="G16:G209" xr:uid="{BC65684E-497C-466D-82D4-BBCB61443363}">
      <formula1>"Mat,MO"</formula1>
    </dataValidation>
  </dataValidations>
  <pageMargins left="0.7" right="0.7" top="0.75" bottom="0.75" header="0.3" footer="0.3"/>
  <pageSetup paperSize="9" scale="51" fitToHeight="0" orientation="landscape" horizontalDpi="300" verticalDpi="300" r:id="rId1"/>
  <headerFooter alignWithMargins="0"/>
  <ignoredErrors>
    <ignoredError sqref="P173:P187 P190:P203 P18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41BA-CD91-4B67-B057-2544C1061F6F}">
  <sheetPr>
    <pageSetUpPr fitToPage="1"/>
  </sheetPr>
  <dimension ref="A1:AG33"/>
  <sheetViews>
    <sheetView topLeftCell="B4" zoomScaleNormal="100" zoomScaleSheetLayoutView="85" workbookViewId="0">
      <selection activeCell="C17" sqref="C17"/>
    </sheetView>
  </sheetViews>
  <sheetFormatPr defaultColWidth="9.140625" defaultRowHeight="12.75"/>
  <cols>
    <col min="1" max="1" width="7.42578125" style="107" customWidth="1"/>
    <col min="2" max="2" width="100.140625" style="107" customWidth="1"/>
    <col min="3" max="3" width="25" style="107" customWidth="1"/>
    <col min="4" max="4" width="9.140625" style="88"/>
    <col min="5" max="5" width="14.85546875" style="88" bestFit="1" customWidth="1"/>
    <col min="6" max="6" width="17.42578125" style="88" customWidth="1"/>
    <col min="7" max="31" width="9.140625" style="88"/>
    <col min="32" max="32" width="11.85546875" style="88" bestFit="1" customWidth="1"/>
    <col min="33" max="16384" width="9.140625" style="88"/>
  </cols>
  <sheetData>
    <row r="1" spans="1:33" ht="75" customHeight="1" thickBot="1">
      <c r="A1" s="373" t="s">
        <v>573</v>
      </c>
      <c r="B1" s="373"/>
      <c r="C1" s="373"/>
      <c r="E1" s="89" t="s">
        <v>574</v>
      </c>
      <c r="F1" s="90">
        <f>'ORÇAMENTO SINTÉTICO - PA4'!O305</f>
        <v>344407.40713333344</v>
      </c>
    </row>
    <row r="2" spans="1:33" ht="21" customHeight="1" thickBot="1">
      <c r="A2" s="374" t="s">
        <v>575</v>
      </c>
      <c r="B2" s="375"/>
      <c r="C2" s="376"/>
      <c r="E2" s="89"/>
      <c r="N2" s="89"/>
    </row>
    <row r="3" spans="1:33" ht="263.25" customHeight="1" thickBot="1">
      <c r="A3" s="377" t="s">
        <v>576</v>
      </c>
      <c r="B3" s="378"/>
      <c r="C3" s="379"/>
      <c r="X3" s="91"/>
    </row>
    <row r="4" spans="1:33" ht="10.35" customHeight="1" thickBot="1">
      <c r="A4" s="378"/>
      <c r="B4" s="378"/>
      <c r="C4" s="378"/>
      <c r="AF4" s="92" t="s">
        <v>577</v>
      </c>
      <c r="AG4" s="93">
        <f>(AG5+AG6+AG7+AG8)</f>
        <v>0.5</v>
      </c>
    </row>
    <row r="5" spans="1:33" ht="15" customHeight="1">
      <c r="A5" s="380" t="s">
        <v>578</v>
      </c>
      <c r="B5" s="381"/>
      <c r="C5" s="382"/>
      <c r="AF5" s="94" t="s">
        <v>579</v>
      </c>
      <c r="AG5" s="95">
        <v>0.15</v>
      </c>
    </row>
    <row r="6" spans="1:33" ht="15" customHeight="1">
      <c r="A6" s="370" t="s">
        <v>580</v>
      </c>
      <c r="B6" s="371"/>
      <c r="C6" s="372"/>
      <c r="AF6" s="94" t="s">
        <v>581</v>
      </c>
      <c r="AG6" s="95">
        <v>0.35</v>
      </c>
    </row>
    <row r="7" spans="1:33" ht="28.5" customHeight="1">
      <c r="A7" s="96" t="s">
        <v>582</v>
      </c>
      <c r="B7" s="97" t="s">
        <v>583</v>
      </c>
      <c r="C7" s="98" t="s">
        <v>584</v>
      </c>
      <c r="AF7" s="94" t="s">
        <v>585</v>
      </c>
      <c r="AG7" s="95"/>
    </row>
    <row r="8" spans="1:33" ht="15" customHeight="1" thickBot="1">
      <c r="A8" s="99" t="s">
        <v>586</v>
      </c>
      <c r="B8" s="100" t="s">
        <v>587</v>
      </c>
      <c r="C8" s="101" cm="1">
        <f t="array" ref="C8">_xlfn.IFS($F$1&lt;=150000,0.055,$F$1&lt;=1500000,0.05,$F$1&gt;1500000,0.035)</f>
        <v>0.05</v>
      </c>
      <c r="AF8" s="102" t="s">
        <v>588</v>
      </c>
      <c r="AG8" s="103">
        <v>0</v>
      </c>
    </row>
    <row r="9" spans="1:33" ht="15" customHeight="1">
      <c r="A9" s="99" t="s">
        <v>589</v>
      </c>
      <c r="B9" s="100" t="s">
        <v>590</v>
      </c>
      <c r="C9" s="101" cm="1">
        <f t="array" ref="C9">_xlfn.IFS($F$1&lt;=150000,0.007,$F$1&lt;=1500000,0.005,$F$1&gt;1500000,0.0035)</f>
        <v>5.0000000000000001E-3</v>
      </c>
    </row>
    <row r="10" spans="1:33" ht="15" customHeight="1">
      <c r="A10" s="99" t="s">
        <v>591</v>
      </c>
      <c r="B10" s="100" t="s">
        <v>592</v>
      </c>
      <c r="C10" s="101" cm="1">
        <f t="array" ref="C10">_xlfn.IFS($F$1&lt;=150000,0.015,$F$1&lt;=1500000,0.013,$F$1&gt;1500000,0.01)</f>
        <v>1.2999999999999999E-2</v>
      </c>
    </row>
    <row r="11" spans="1:33" ht="15" customHeight="1">
      <c r="A11" s="99" t="s">
        <v>593</v>
      </c>
      <c r="B11" s="100" t="s">
        <v>594</v>
      </c>
      <c r="C11" s="101" cm="1">
        <f t="array" ref="C11">_xlfn.IFS($F$1&lt;=150000,0.008,$F$1&lt;=1500000,0.0075,$F$1&gt;1500000,0.007)</f>
        <v>7.4999999999999997E-3</v>
      </c>
    </row>
    <row r="12" spans="1:33" ht="15" customHeight="1">
      <c r="A12" s="99" t="s">
        <v>595</v>
      </c>
      <c r="B12" s="100" t="s">
        <v>596</v>
      </c>
      <c r="C12" s="101" cm="1">
        <f t="array" ref="C12">_xlfn.IFS($F$1&lt;=150000,0.085,$F$1&lt;=1500000,0.08,$F$1&gt;1500000,0.065)</f>
        <v>0.08</v>
      </c>
    </row>
    <row r="13" spans="1:33" ht="15" customHeight="1">
      <c r="A13" s="389" t="s">
        <v>597</v>
      </c>
      <c r="B13" s="100" t="s">
        <v>598</v>
      </c>
      <c r="C13" s="101">
        <v>0.03</v>
      </c>
    </row>
    <row r="14" spans="1:33" ht="15" customHeight="1">
      <c r="A14" s="390"/>
      <c r="B14" s="100" t="s">
        <v>599</v>
      </c>
      <c r="C14" s="101">
        <v>6.4999999999999997E-3</v>
      </c>
    </row>
    <row r="15" spans="1:33" ht="15" customHeight="1">
      <c r="A15" s="390"/>
      <c r="B15" s="100" t="s">
        <v>600</v>
      </c>
      <c r="C15" s="101">
        <v>0.03</v>
      </c>
      <c r="E15" s="89" t="s">
        <v>600</v>
      </c>
    </row>
    <row r="16" spans="1:33" ht="15" customHeight="1">
      <c r="A16" s="391"/>
      <c r="B16" s="100" t="s">
        <v>601</v>
      </c>
      <c r="C16" s="101">
        <v>0</v>
      </c>
    </row>
    <row r="17" spans="1:6" ht="15" customHeight="1" thickBot="1">
      <c r="A17" s="383" t="s">
        <v>602</v>
      </c>
      <c r="B17" s="384"/>
      <c r="C17" s="104">
        <f>ROUND(((1+C8+C9+C10)*(1+C11)*(1+C12)/(1-C13-C14-C15-C16))-1,4)</f>
        <v>0.24490000000000001</v>
      </c>
      <c r="E17" s="105"/>
    </row>
    <row r="18" spans="1:6" ht="10.35" customHeight="1" thickBot="1">
      <c r="A18" s="392"/>
      <c r="B18" s="392"/>
      <c r="C18" s="392"/>
    </row>
    <row r="19" spans="1:6" ht="15" customHeight="1">
      <c r="A19" s="380" t="s">
        <v>603</v>
      </c>
      <c r="B19" s="381"/>
      <c r="C19" s="382"/>
    </row>
    <row r="20" spans="1:6" ht="15" customHeight="1">
      <c r="A20" s="370" t="s">
        <v>580</v>
      </c>
      <c r="B20" s="371"/>
      <c r="C20" s="372"/>
    </row>
    <row r="21" spans="1:6" ht="28.5" customHeight="1">
      <c r="A21" s="96" t="s">
        <v>582</v>
      </c>
      <c r="B21" s="97" t="s">
        <v>583</v>
      </c>
      <c r="C21" s="98" t="s">
        <v>584</v>
      </c>
    </row>
    <row r="22" spans="1:6" ht="15" customHeight="1">
      <c r="A22" s="99" t="s">
        <v>586</v>
      </c>
      <c r="B22" s="100" t="s">
        <v>587</v>
      </c>
      <c r="C22" s="101" cm="1">
        <f t="array" ref="C22">_xlfn.IFS($F$1&lt;=150000,0.035,$F$1&lt;=1500000,0.025,$F$1&gt;1500000,0.01)</f>
        <v>2.5000000000000001E-2</v>
      </c>
    </row>
    <row r="23" spans="1:6" ht="15" customHeight="1">
      <c r="A23" s="99" t="s">
        <v>589</v>
      </c>
      <c r="B23" s="100" t="s">
        <v>590</v>
      </c>
      <c r="C23" s="101" cm="1">
        <f t="array" ref="C23">_xlfn.IFS($F$1&lt;=150000,0.008,$F$1&lt;=1500000,0.005,$F$1&gt;1500000,0.003)</f>
        <v>5.0000000000000001E-3</v>
      </c>
    </row>
    <row r="24" spans="1:6" ht="15" customHeight="1">
      <c r="A24" s="99" t="s">
        <v>591</v>
      </c>
      <c r="B24" s="100" t="s">
        <v>592</v>
      </c>
      <c r="C24" s="101" cm="1">
        <f t="array" ref="C24">_xlfn.IFS($F$1&lt;=150000,0.009,$F$1&lt;=1500000,0.008,$F$1&gt;1500000,0.0055)</f>
        <v>8.0000000000000002E-3</v>
      </c>
      <c r="E24" s="106" t="s">
        <v>28</v>
      </c>
    </row>
    <row r="25" spans="1:6" ht="15" customHeight="1">
      <c r="A25" s="99" t="s">
        <v>593</v>
      </c>
      <c r="B25" s="100" t="s">
        <v>594</v>
      </c>
      <c r="C25" s="101" cm="1">
        <f t="array" ref="C25">_xlfn.IFS($F$1&lt;=150000,0.011,$F$1&lt;=1500000,0.0085,$F$1&gt;1500000,0.0085)</f>
        <v>8.5000000000000006E-3</v>
      </c>
    </row>
    <row r="26" spans="1:6" ht="15" customHeight="1">
      <c r="A26" s="99" t="s">
        <v>595</v>
      </c>
      <c r="B26" s="100" t="s">
        <v>596</v>
      </c>
      <c r="C26" s="101" cm="1">
        <f t="array" ref="C26">_xlfn.IFS($F$1&lt;=150000,0.05,$F$1&lt;=1500000,0.04,$F$1&gt;1500000,0.03)</f>
        <v>0.04</v>
      </c>
    </row>
    <row r="27" spans="1:6" ht="15" customHeight="1">
      <c r="A27" s="389" t="s">
        <v>597</v>
      </c>
      <c r="B27" s="100" t="s">
        <v>598</v>
      </c>
      <c r="C27" s="101">
        <v>0.03</v>
      </c>
    </row>
    <row r="28" spans="1:6" ht="15" customHeight="1">
      <c r="A28" s="390"/>
      <c r="B28" s="100" t="s">
        <v>599</v>
      </c>
      <c r="C28" s="101">
        <v>6.4999999999999997E-3</v>
      </c>
    </row>
    <row r="29" spans="1:6" ht="15" customHeight="1">
      <c r="A29" s="390"/>
      <c r="B29" s="100" t="s">
        <v>600</v>
      </c>
      <c r="C29" s="101">
        <v>0</v>
      </c>
    </row>
    <row r="30" spans="1:6" ht="15" customHeight="1">
      <c r="A30" s="391"/>
      <c r="B30" s="100" t="s">
        <v>601</v>
      </c>
      <c r="C30" s="101">
        <v>0</v>
      </c>
    </row>
    <row r="31" spans="1:6" ht="15" customHeight="1" thickBot="1">
      <c r="A31" s="383" t="s">
        <v>604</v>
      </c>
      <c r="B31" s="384"/>
      <c r="C31" s="104">
        <f>ROUND(((1+C22+C23+C24)*(1+C25)*(1+C26)/(1-C27-C28-C29-C30))-1,4)</f>
        <v>0.12989999999999999</v>
      </c>
      <c r="E31" s="105"/>
      <c r="F31" s="105"/>
    </row>
    <row r="32" spans="1:6" ht="10.35" customHeight="1">
      <c r="A32" s="385"/>
      <c r="B32" s="385"/>
      <c r="C32" s="385"/>
    </row>
    <row r="33" spans="1:3" ht="75" customHeight="1">
      <c r="A33" s="386" t="s">
        <v>605</v>
      </c>
      <c r="B33" s="387"/>
      <c r="C33" s="388"/>
    </row>
  </sheetData>
  <mergeCells count="15">
    <mergeCell ref="A31:B31"/>
    <mergeCell ref="A32:C32"/>
    <mergeCell ref="A33:C33"/>
    <mergeCell ref="A13:A16"/>
    <mergeCell ref="A17:B17"/>
    <mergeCell ref="A18:C18"/>
    <mergeCell ref="A19:C19"/>
    <mergeCell ref="A20:C20"/>
    <mergeCell ref="A27:A30"/>
    <mergeCell ref="A6:C6"/>
    <mergeCell ref="A1:C1"/>
    <mergeCell ref="A2:C2"/>
    <mergeCell ref="A3:C3"/>
    <mergeCell ref="A4:C4"/>
    <mergeCell ref="A5:C5"/>
  </mergeCells>
  <printOptions horizontalCentered="1"/>
  <pageMargins left="0.78740157480314965" right="0.78740157480314965" top="0.78740157480314965" bottom="0.78740157480314965" header="0.39370078740157483" footer="0.39370078740157483"/>
  <pageSetup paperSize="9" scale="7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6897-1695-4906-8299-78A0680126AF}">
  <dimension ref="B2:Z34"/>
  <sheetViews>
    <sheetView zoomScaleNormal="100" workbookViewId="0">
      <selection activeCell="E36" sqref="E36"/>
    </sheetView>
  </sheetViews>
  <sheetFormatPr defaultRowHeight="15"/>
  <cols>
    <col min="3" max="4" width="9.140625" style="113"/>
    <col min="6" max="6" width="14.28515625" bestFit="1" customWidth="1"/>
    <col min="7" max="7" width="10.42578125" style="113" customWidth="1"/>
    <col min="13" max="13" width="19.28515625" bestFit="1" customWidth="1"/>
    <col min="14" max="14" width="10.85546875" bestFit="1" customWidth="1"/>
    <col min="17" max="17" width="15.28515625" bestFit="1" customWidth="1"/>
    <col min="18" max="18" width="7" bestFit="1" customWidth="1"/>
    <col min="20" max="20" width="15.28515625" bestFit="1" customWidth="1"/>
    <col min="21" max="21" width="7" bestFit="1" customWidth="1"/>
    <col min="23" max="23" width="15.28515625" bestFit="1" customWidth="1"/>
    <col min="24" max="24" width="7" bestFit="1" customWidth="1"/>
  </cols>
  <sheetData>
    <row r="2" spans="2:26">
      <c r="B2" s="394" t="s">
        <v>644</v>
      </c>
      <c r="C2" s="394"/>
      <c r="D2" s="114" t="s">
        <v>645</v>
      </c>
      <c r="F2" s="394" t="s">
        <v>857</v>
      </c>
      <c r="G2" s="394"/>
      <c r="J2" s="394"/>
      <c r="K2" s="394"/>
      <c r="L2" s="394"/>
      <c r="O2" s="394" t="s">
        <v>858</v>
      </c>
      <c r="P2" s="394"/>
    </row>
    <row r="3" spans="2:26">
      <c r="B3" s="15" t="s">
        <v>309</v>
      </c>
      <c r="C3" s="114">
        <f>3.1+1.4+1.7+1.4+0.25+0.5+0.15</f>
        <v>8.5</v>
      </c>
      <c r="D3" s="114">
        <f>C3*2</f>
        <v>17</v>
      </c>
      <c r="F3" s="15" t="s">
        <v>309</v>
      </c>
      <c r="G3" s="114">
        <f>3.1+1.4</f>
        <v>4.5</v>
      </c>
      <c r="J3" s="114"/>
      <c r="K3" s="114"/>
      <c r="L3" s="114"/>
      <c r="O3" s="15" t="s">
        <v>309</v>
      </c>
      <c r="P3" s="15">
        <v>2</v>
      </c>
    </row>
    <row r="4" spans="2:26">
      <c r="B4" s="15" t="s">
        <v>310</v>
      </c>
      <c r="C4" s="114">
        <f>2+0.5+0.5</f>
        <v>3</v>
      </c>
      <c r="D4" s="114">
        <f>C4*2</f>
        <v>6</v>
      </c>
      <c r="F4" s="15" t="s">
        <v>310</v>
      </c>
      <c r="G4" s="114">
        <v>3</v>
      </c>
      <c r="J4" s="119"/>
      <c r="K4" s="119"/>
      <c r="L4" s="119"/>
      <c r="O4" s="15" t="s">
        <v>310</v>
      </c>
      <c r="P4" s="15">
        <v>2</v>
      </c>
    </row>
    <row r="5" spans="2:26">
      <c r="B5" s="15"/>
      <c r="C5" s="114"/>
      <c r="D5" s="553">
        <f>D3+D4</f>
        <v>23</v>
      </c>
      <c r="F5" s="15" t="s">
        <v>648</v>
      </c>
      <c r="G5" s="114">
        <f>0.25+2.4+0.5+0.2+0.05</f>
        <v>3.4</v>
      </c>
      <c r="J5" s="119"/>
      <c r="K5" s="119"/>
      <c r="L5" s="119"/>
      <c r="O5" s="15" t="s">
        <v>648</v>
      </c>
      <c r="P5" s="15">
        <f>0.2+2.05+0.31+0.25+0.05</f>
        <v>2.86</v>
      </c>
    </row>
    <row r="6" spans="2:26">
      <c r="F6" s="15"/>
      <c r="G6" s="247">
        <f>G3*G4*G5</f>
        <v>45.9</v>
      </c>
      <c r="J6" s="15"/>
      <c r="K6" s="15"/>
      <c r="L6" s="114"/>
      <c r="O6" s="15"/>
      <c r="P6" s="115">
        <f>P3*P4*P5</f>
        <v>11.44</v>
      </c>
    </row>
    <row r="7" spans="2:26">
      <c r="B7" s="394" t="s">
        <v>646</v>
      </c>
      <c r="C7" s="394"/>
      <c r="J7" s="15"/>
      <c r="K7" s="15"/>
      <c r="L7" s="109"/>
      <c r="Q7" s="564"/>
      <c r="R7" s="564"/>
      <c r="S7" s="564"/>
      <c r="T7" s="564"/>
      <c r="U7" s="564"/>
      <c r="V7" s="564"/>
      <c r="W7" s="564"/>
      <c r="X7" s="564"/>
      <c r="Y7" s="564"/>
      <c r="Z7" s="564"/>
    </row>
    <row r="8" spans="2:26">
      <c r="B8" s="15" t="s">
        <v>309</v>
      </c>
      <c r="C8" s="114">
        <f>C3</f>
        <v>8.5</v>
      </c>
      <c r="F8" s="394" t="s">
        <v>903</v>
      </c>
      <c r="G8" s="394"/>
      <c r="Q8" s="564"/>
      <c r="R8" s="564"/>
      <c r="S8" s="564"/>
      <c r="T8" s="564"/>
      <c r="U8" s="564"/>
      <c r="V8" s="564"/>
      <c r="W8" s="564"/>
      <c r="X8" s="564"/>
      <c r="Y8" s="564"/>
      <c r="Z8" s="564"/>
    </row>
    <row r="9" spans="2:26">
      <c r="B9" s="15" t="s">
        <v>310</v>
      </c>
      <c r="C9" s="114">
        <f>C4</f>
        <v>3</v>
      </c>
      <c r="F9" s="15" t="s">
        <v>309</v>
      </c>
      <c r="G9" s="114">
        <f>0.15+0.5+0.25+1.4+1.7+1.4+3.1</f>
        <v>8.5</v>
      </c>
      <c r="J9" s="394"/>
      <c r="K9" s="394"/>
      <c r="Q9" s="393" t="s">
        <v>906</v>
      </c>
      <c r="R9" s="393"/>
      <c r="S9" s="564"/>
      <c r="T9" s="393" t="s">
        <v>907</v>
      </c>
      <c r="U9" s="393"/>
      <c r="V9" s="564"/>
      <c r="W9" s="393" t="s">
        <v>908</v>
      </c>
      <c r="X9" s="393"/>
      <c r="Y9" s="564"/>
      <c r="Z9" s="564"/>
    </row>
    <row r="10" spans="2:26">
      <c r="B10" s="15"/>
      <c r="C10" s="109">
        <f>C8*C9</f>
        <v>25.5</v>
      </c>
      <c r="F10" s="15" t="s">
        <v>310</v>
      </c>
      <c r="G10" s="114">
        <f>2+1</f>
        <v>3</v>
      </c>
      <c r="J10" s="15"/>
      <c r="K10" s="114"/>
      <c r="Q10" s="15" t="s">
        <v>879</v>
      </c>
      <c r="R10" s="565">
        <f>62.76-U10-X10</f>
        <v>49.72</v>
      </c>
      <c r="S10" s="564"/>
      <c r="T10" s="15" t="s">
        <v>879</v>
      </c>
      <c r="U10" s="565">
        <v>12</v>
      </c>
      <c r="V10" s="564"/>
      <c r="W10" s="15" t="s">
        <v>879</v>
      </c>
      <c r="X10" s="565">
        <v>1.04</v>
      </c>
      <c r="Y10" s="564"/>
      <c r="Z10" s="564"/>
    </row>
    <row r="11" spans="2:26">
      <c r="B11" s="395" t="s">
        <v>647</v>
      </c>
      <c r="C11" s="396"/>
      <c r="F11" s="119">
        <v>0.05</v>
      </c>
      <c r="G11" s="115">
        <f>G9*G10</f>
        <v>25.5</v>
      </c>
      <c r="J11" s="15"/>
      <c r="K11" s="114"/>
      <c r="Q11" s="15" t="s">
        <v>880</v>
      </c>
      <c r="R11" s="565">
        <v>816.92</v>
      </c>
      <c r="S11" s="564"/>
      <c r="T11" s="15" t="s">
        <v>880</v>
      </c>
      <c r="U11" s="565">
        <v>37.26</v>
      </c>
      <c r="V11" s="564"/>
      <c r="W11" s="15" t="s">
        <v>880</v>
      </c>
      <c r="X11" s="565">
        <v>28.96</v>
      </c>
      <c r="Y11" s="564"/>
      <c r="Z11" s="564"/>
    </row>
    <row r="12" spans="2:26">
      <c r="B12" s="15" t="s">
        <v>309</v>
      </c>
      <c r="C12" s="554">
        <v>340</v>
      </c>
      <c r="F12" s="15" t="s">
        <v>649</v>
      </c>
      <c r="G12" s="145">
        <f>G11*F11</f>
        <v>1.2750000000000001</v>
      </c>
      <c r="J12" s="15"/>
      <c r="K12" s="109"/>
      <c r="Q12" s="15" t="s">
        <v>881</v>
      </c>
      <c r="R12" s="15">
        <f>10.88-U12-X12</f>
        <v>9.73</v>
      </c>
      <c r="S12" s="564"/>
      <c r="T12" s="15" t="s">
        <v>881</v>
      </c>
      <c r="U12" s="15">
        <v>0.81</v>
      </c>
      <c r="V12" s="564"/>
      <c r="W12" s="15" t="s">
        <v>881</v>
      </c>
      <c r="X12" s="15">
        <v>0.34</v>
      </c>
      <c r="Y12" s="564"/>
      <c r="Z12" s="564"/>
    </row>
    <row r="13" spans="2:26">
      <c r="B13" s="15" t="s">
        <v>310</v>
      </c>
      <c r="C13" s="114">
        <v>1</v>
      </c>
      <c r="Q13" s="15" t="s">
        <v>882</v>
      </c>
      <c r="R13" s="15">
        <v>0.52</v>
      </c>
      <c r="S13" s="564"/>
      <c r="T13" s="564"/>
      <c r="U13" s="564"/>
      <c r="V13" s="564"/>
      <c r="W13" s="584" t="s">
        <v>912</v>
      </c>
      <c r="X13" s="564">
        <f>1.4*1.2+((1.4*0.2)*2)+((1.2*0.2)*2)</f>
        <v>2.7199999999999998</v>
      </c>
      <c r="Y13" s="564"/>
      <c r="Z13" s="564"/>
    </row>
    <row r="14" spans="2:26">
      <c r="B14" s="15"/>
      <c r="C14" s="555"/>
      <c r="F14" s="394" t="s">
        <v>681</v>
      </c>
      <c r="G14" s="394"/>
      <c r="J14" s="394" t="s">
        <v>770</v>
      </c>
      <c r="K14" s="394"/>
      <c r="L14" s="394"/>
      <c r="M14" s="395" t="s">
        <v>771</v>
      </c>
      <c r="N14" s="396"/>
      <c r="Q14" s="564"/>
      <c r="R14" s="564"/>
      <c r="S14" s="564"/>
      <c r="T14" s="564"/>
      <c r="U14" s="564"/>
      <c r="V14" s="564"/>
      <c r="W14" s="564"/>
      <c r="X14" s="564"/>
      <c r="Y14" s="564"/>
      <c r="Z14" s="564"/>
    </row>
    <row r="15" spans="2:26">
      <c r="B15" s="15"/>
      <c r="C15" s="556">
        <f>C10+C14</f>
        <v>25.5</v>
      </c>
      <c r="F15" s="15" t="s">
        <v>309</v>
      </c>
      <c r="G15" s="114">
        <v>1.5</v>
      </c>
      <c r="J15" s="114" t="s">
        <v>682</v>
      </c>
      <c r="K15" s="114" t="s">
        <v>310</v>
      </c>
      <c r="L15" s="15"/>
      <c r="M15" s="15" t="s">
        <v>769</v>
      </c>
      <c r="N15" s="15" t="s">
        <v>768</v>
      </c>
      <c r="Q15" s="564"/>
      <c r="R15" s="564"/>
      <c r="S15" s="564"/>
      <c r="T15" s="564"/>
      <c r="U15" s="564"/>
      <c r="V15" s="564"/>
      <c r="W15" s="564"/>
      <c r="X15" s="564"/>
      <c r="Y15" s="564"/>
      <c r="Z15" s="564"/>
    </row>
    <row r="16" spans="2:26">
      <c r="F16" s="15" t="s">
        <v>310</v>
      </c>
      <c r="G16" s="114">
        <v>0.3</v>
      </c>
      <c r="J16" s="119">
        <f>2.9+0.75</f>
        <v>3.65</v>
      </c>
      <c r="K16" s="119">
        <f>3.1-0.25-0.25</f>
        <v>2.6</v>
      </c>
      <c r="L16" s="119">
        <f>J16*K16</f>
        <v>9.49</v>
      </c>
      <c r="M16" s="15"/>
      <c r="N16" s="145">
        <f>PI()*1.04*(0.05+0.25+0.31+2.05+0.2)</f>
        <v>9.3443531888374807</v>
      </c>
      <c r="Q16" s="564"/>
      <c r="R16" s="564"/>
      <c r="S16" s="564"/>
      <c r="T16" s="564"/>
      <c r="U16" s="564"/>
      <c r="V16" s="564"/>
      <c r="W16" s="564"/>
      <c r="X16" s="564"/>
      <c r="Y16" s="564"/>
      <c r="Z16" s="564"/>
    </row>
    <row r="17" spans="2:26">
      <c r="F17" s="15"/>
      <c r="G17" s="109">
        <f>G15*G16</f>
        <v>0.44999999999999996</v>
      </c>
      <c r="J17" s="119">
        <f>2.4+0.5</f>
        <v>2.9</v>
      </c>
      <c r="K17" s="119">
        <f>2-0.25-0.25</f>
        <v>1.5</v>
      </c>
      <c r="L17" s="119">
        <f>J17*K17</f>
        <v>4.3499999999999996</v>
      </c>
      <c r="M17" s="15"/>
      <c r="N17" s="15"/>
      <c r="Q17" s="564"/>
      <c r="R17" s="564"/>
      <c r="S17" s="564"/>
      <c r="T17" s="564"/>
      <c r="U17" s="564"/>
      <c r="V17" s="564"/>
      <c r="W17" s="564"/>
      <c r="X17" s="564"/>
      <c r="Y17" s="564"/>
      <c r="Z17" s="564"/>
    </row>
    <row r="18" spans="2:26">
      <c r="J18" s="119"/>
      <c r="K18" s="119"/>
      <c r="L18" s="119">
        <f>L16+L17</f>
        <v>13.84</v>
      </c>
      <c r="M18" s="15"/>
      <c r="N18" s="15"/>
      <c r="Q18" s="564"/>
      <c r="R18" s="564"/>
      <c r="S18" s="564"/>
      <c r="T18" s="564"/>
      <c r="U18" s="564"/>
      <c r="V18" s="564"/>
      <c r="W18" s="564"/>
      <c r="X18" s="564"/>
      <c r="Y18" s="564"/>
      <c r="Z18" s="564"/>
    </row>
    <row r="19" spans="2:26">
      <c r="J19" s="15"/>
      <c r="K19" s="15"/>
      <c r="L19" s="247">
        <f>(L18*2)+L22</f>
        <v>40.08</v>
      </c>
      <c r="M19" s="15"/>
      <c r="N19" s="15"/>
      <c r="Q19" s="564"/>
      <c r="R19" s="564"/>
      <c r="S19" s="564"/>
      <c r="T19" s="564"/>
      <c r="U19" s="564"/>
      <c r="V19" s="564"/>
      <c r="W19" s="564"/>
      <c r="X19" s="564"/>
      <c r="Y19" s="564"/>
      <c r="Z19" s="564"/>
    </row>
    <row r="20" spans="2:26">
      <c r="B20" s="393" t="s">
        <v>913</v>
      </c>
      <c r="C20" s="393"/>
      <c r="J20" s="394" t="s">
        <v>772</v>
      </c>
      <c r="K20" s="394"/>
      <c r="L20" s="394"/>
      <c r="Q20" s="564"/>
      <c r="R20" s="564"/>
      <c r="S20" s="564"/>
      <c r="T20" s="564"/>
      <c r="U20" s="564"/>
      <c r="V20" s="564"/>
      <c r="W20" s="564"/>
      <c r="X20" s="564"/>
      <c r="Y20" s="564"/>
      <c r="Z20" s="564"/>
    </row>
    <row r="21" spans="2:26">
      <c r="B21" s="15" t="s">
        <v>914</v>
      </c>
      <c r="C21" s="114">
        <v>0.5</v>
      </c>
      <c r="J21" s="114" t="s">
        <v>309</v>
      </c>
      <c r="K21" s="114" t="s">
        <v>310</v>
      </c>
      <c r="Q21" s="564"/>
      <c r="R21" s="564"/>
      <c r="S21" s="564"/>
      <c r="T21" s="564"/>
      <c r="U21" s="564"/>
      <c r="V21" s="564"/>
      <c r="W21" s="564"/>
      <c r="X21" s="564"/>
      <c r="Y21" s="564"/>
      <c r="Z21" s="564"/>
    </row>
    <row r="22" spans="2:26">
      <c r="B22" s="15" t="s">
        <v>915</v>
      </c>
      <c r="C22" s="114">
        <v>1.8</v>
      </c>
      <c r="J22" s="114">
        <v>3.1</v>
      </c>
      <c r="K22" s="114">
        <v>2</v>
      </c>
      <c r="L22" s="109">
        <f>(J22*K22)*2</f>
        <v>12.4</v>
      </c>
      <c r="Q22" s="564"/>
      <c r="R22" s="564"/>
      <c r="S22" s="564"/>
      <c r="T22" s="564"/>
      <c r="U22" s="564"/>
      <c r="V22" s="564"/>
      <c r="W22" s="564"/>
      <c r="X22" s="564"/>
      <c r="Y22" s="564"/>
      <c r="Z22" s="564"/>
    </row>
    <row r="23" spans="2:26">
      <c r="B23" s="15"/>
      <c r="C23" s="109">
        <f>C21*C22</f>
        <v>0.9</v>
      </c>
      <c r="Q23" s="564"/>
      <c r="R23" s="564"/>
      <c r="S23" s="564"/>
      <c r="T23" s="564"/>
      <c r="U23" s="564"/>
      <c r="V23" s="564"/>
      <c r="W23" s="564"/>
      <c r="X23" s="564"/>
      <c r="Y23" s="564"/>
      <c r="Z23" s="564"/>
    </row>
    <row r="24" spans="2:26">
      <c r="C24"/>
      <c r="Q24" s="564"/>
      <c r="R24" s="564"/>
      <c r="S24" s="564"/>
      <c r="T24" s="564"/>
      <c r="U24" s="564"/>
      <c r="V24" s="564"/>
      <c r="W24" s="564"/>
      <c r="X24" s="564"/>
      <c r="Y24" s="564"/>
      <c r="Z24" s="564"/>
    </row>
    <row r="25" spans="2:26">
      <c r="B25" s="394" t="s">
        <v>916</v>
      </c>
      <c r="C25" s="394"/>
      <c r="Q25" s="564"/>
      <c r="R25" s="564"/>
      <c r="S25" s="564"/>
      <c r="T25" s="564"/>
      <c r="U25" s="564"/>
      <c r="V25" s="564"/>
      <c r="W25" s="564"/>
      <c r="X25" s="564"/>
      <c r="Y25" s="564"/>
      <c r="Z25" s="564"/>
    </row>
    <row r="26" spans="2:26">
      <c r="B26" s="114">
        <f>C23*2</f>
        <v>1.8</v>
      </c>
      <c r="C26" s="585">
        <f>(C22*0.22)*2</f>
        <v>0.79200000000000004</v>
      </c>
      <c r="Q26" s="564"/>
      <c r="R26" s="564"/>
      <c r="S26" s="564"/>
      <c r="T26" s="564"/>
      <c r="U26" s="564"/>
      <c r="V26" s="564"/>
      <c r="W26" s="564"/>
      <c r="X26" s="564"/>
      <c r="Y26" s="564"/>
      <c r="Z26" s="564"/>
    </row>
    <row r="27" spans="2:26">
      <c r="B27" s="114"/>
      <c r="C27" s="145">
        <f>B26+C26</f>
        <v>2.5920000000000001</v>
      </c>
      <c r="D27"/>
      <c r="Q27" s="564"/>
      <c r="R27" s="564"/>
      <c r="S27" s="564"/>
      <c r="T27" s="564"/>
      <c r="U27" s="564"/>
      <c r="V27" s="564"/>
      <c r="W27" s="564"/>
      <c r="X27" s="564"/>
      <c r="Y27" s="564"/>
      <c r="Z27" s="564"/>
    </row>
    <row r="28" spans="2:26">
      <c r="D28"/>
      <c r="Q28" s="564"/>
      <c r="R28" s="564"/>
      <c r="S28" s="564"/>
      <c r="T28" s="564"/>
      <c r="U28" s="564"/>
      <c r="V28" s="564"/>
      <c r="W28" s="564"/>
      <c r="X28" s="564"/>
      <c r="Y28" s="564"/>
      <c r="Z28" s="564"/>
    </row>
    <row r="29" spans="2:26">
      <c r="D29"/>
      <c r="Q29" s="564"/>
      <c r="R29" s="564"/>
      <c r="S29" s="564"/>
      <c r="T29" s="564"/>
      <c r="U29" s="564"/>
      <c r="V29" s="564"/>
      <c r="W29" s="564"/>
      <c r="X29" s="564"/>
      <c r="Y29" s="564"/>
      <c r="Z29" s="564"/>
    </row>
    <row r="30" spans="2:26">
      <c r="D30"/>
      <c r="Q30" s="564"/>
      <c r="R30" s="564"/>
      <c r="S30" s="564"/>
      <c r="T30" s="564"/>
      <c r="U30" s="564"/>
      <c r="V30" s="564"/>
      <c r="W30" s="564"/>
      <c r="X30" s="564"/>
      <c r="Y30" s="564"/>
      <c r="Z30" s="564"/>
    </row>
    <row r="31" spans="2:26">
      <c r="D31"/>
      <c r="Q31" s="564"/>
      <c r="R31" s="564"/>
      <c r="S31" s="564"/>
      <c r="T31" s="564"/>
      <c r="U31" s="564"/>
      <c r="V31" s="564"/>
      <c r="W31" s="564"/>
      <c r="X31" s="564"/>
      <c r="Y31" s="564"/>
      <c r="Z31" s="564"/>
    </row>
    <row r="32" spans="2:26">
      <c r="D32"/>
      <c r="Q32" s="564"/>
      <c r="R32" s="564"/>
      <c r="S32" s="564"/>
      <c r="T32" s="564"/>
      <c r="U32" s="564"/>
      <c r="V32" s="564"/>
      <c r="W32" s="564"/>
      <c r="X32" s="564"/>
      <c r="Y32" s="564"/>
      <c r="Z32" s="564"/>
    </row>
    <row r="33" spans="17:26">
      <c r="Q33" s="564"/>
      <c r="R33" s="564"/>
      <c r="S33" s="564"/>
      <c r="T33" s="564"/>
      <c r="U33" s="564"/>
      <c r="V33" s="564"/>
      <c r="W33" s="564"/>
      <c r="X33" s="564"/>
      <c r="Y33" s="564"/>
      <c r="Z33" s="564"/>
    </row>
    <row r="34" spans="17:26">
      <c r="Q34" s="564"/>
      <c r="R34" s="564"/>
      <c r="S34" s="564"/>
      <c r="T34" s="564"/>
      <c r="U34" s="564"/>
      <c r="V34" s="564"/>
      <c r="W34" s="564"/>
      <c r="X34" s="564"/>
      <c r="Y34" s="564"/>
      <c r="Z34" s="564"/>
    </row>
  </sheetData>
  <mergeCells count="17">
    <mergeCell ref="T9:U9"/>
    <mergeCell ref="W9:X9"/>
    <mergeCell ref="B20:C20"/>
    <mergeCell ref="B25:C25"/>
    <mergeCell ref="Q9:R9"/>
    <mergeCell ref="F14:G14"/>
    <mergeCell ref="B2:C2"/>
    <mergeCell ref="B7:C7"/>
    <mergeCell ref="B11:C11"/>
    <mergeCell ref="F2:G2"/>
    <mergeCell ref="F8:G8"/>
    <mergeCell ref="O2:P2"/>
    <mergeCell ref="J2:L2"/>
    <mergeCell ref="J9:K9"/>
    <mergeCell ref="J14:L14"/>
    <mergeCell ref="M14:N14"/>
    <mergeCell ref="J20:L2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D9C7-E3B0-489A-8B3B-18A6972C7B84}">
  <sheetPr>
    <pageSetUpPr fitToPage="1"/>
  </sheetPr>
  <dimension ref="A1:F36"/>
  <sheetViews>
    <sheetView workbookViewId="0">
      <pane ySplit="2" topLeftCell="A21" activePane="bottomLeft" state="frozen"/>
      <selection pane="bottomLeft" activeCell="B37" sqref="B37"/>
    </sheetView>
  </sheetViews>
  <sheetFormatPr defaultRowHeight="15"/>
  <cols>
    <col min="1" max="1" width="7" customWidth="1"/>
    <col min="2" max="2" width="93" customWidth="1"/>
    <col min="3" max="3" width="13" customWidth="1"/>
    <col min="4" max="4" width="9" customWidth="1"/>
  </cols>
  <sheetData>
    <row r="1" spans="1:6" ht="18" customHeight="1">
      <c r="A1" s="397" t="s">
        <v>883</v>
      </c>
      <c r="B1" s="398"/>
      <c r="C1" s="398"/>
      <c r="D1" s="398"/>
    </row>
    <row r="2" spans="1:6" ht="15.95" customHeight="1">
      <c r="A2" s="250" t="s">
        <v>884</v>
      </c>
      <c r="B2" s="250" t="s">
        <v>650</v>
      </c>
      <c r="C2" s="250" t="s">
        <v>885</v>
      </c>
      <c r="D2" s="250" t="s">
        <v>651</v>
      </c>
    </row>
    <row r="3" spans="1:6" ht="29.1" customHeight="1">
      <c r="A3" s="251">
        <v>1</v>
      </c>
      <c r="B3" s="252" t="s">
        <v>886</v>
      </c>
      <c r="C3" s="251">
        <v>1</v>
      </c>
      <c r="D3" s="251" t="s">
        <v>653</v>
      </c>
    </row>
    <row r="4" spans="1:6" ht="29.1" customHeight="1">
      <c r="A4" s="251">
        <v>2</v>
      </c>
      <c r="B4" s="252" t="s">
        <v>654</v>
      </c>
      <c r="C4" s="251">
        <v>1</v>
      </c>
      <c r="D4" s="251" t="s">
        <v>653</v>
      </c>
    </row>
    <row r="5" spans="1:6" ht="43.5" customHeight="1">
      <c r="A5" s="251">
        <v>3</v>
      </c>
      <c r="B5" s="252" t="s">
        <v>887</v>
      </c>
      <c r="C5" s="251">
        <v>1</v>
      </c>
      <c r="D5" s="251" t="s">
        <v>653</v>
      </c>
    </row>
    <row r="6" spans="1:6" ht="29.1" customHeight="1">
      <c r="A6" s="251">
        <v>4</v>
      </c>
      <c r="B6" s="253" t="s">
        <v>655</v>
      </c>
      <c r="C6" s="251">
        <v>1</v>
      </c>
      <c r="D6" s="251" t="s">
        <v>653</v>
      </c>
    </row>
    <row r="7" spans="1:6" ht="15.95" customHeight="1">
      <c r="A7" s="251">
        <v>5</v>
      </c>
      <c r="B7" s="252" t="s">
        <v>888</v>
      </c>
      <c r="C7" s="251">
        <v>1</v>
      </c>
      <c r="D7" s="251" t="s">
        <v>316</v>
      </c>
    </row>
    <row r="8" spans="1:6" ht="15.95" customHeight="1">
      <c r="A8" s="251">
        <v>6</v>
      </c>
      <c r="B8" s="252" t="s">
        <v>889</v>
      </c>
      <c r="C8" s="251">
        <v>1</v>
      </c>
      <c r="D8" s="251" t="s">
        <v>653</v>
      </c>
    </row>
    <row r="9" spans="1:6" ht="57.95" customHeight="1">
      <c r="A9" s="251">
        <v>7</v>
      </c>
      <c r="B9" s="252" t="s">
        <v>890</v>
      </c>
      <c r="C9" s="251">
        <v>1</v>
      </c>
      <c r="D9" s="251" t="s">
        <v>653</v>
      </c>
    </row>
    <row r="10" spans="1:6" ht="15.95" customHeight="1">
      <c r="A10" s="251">
        <v>8</v>
      </c>
      <c r="B10" s="252" t="s">
        <v>891</v>
      </c>
      <c r="C10" s="251">
        <v>1</v>
      </c>
      <c r="D10" s="251" t="s">
        <v>653</v>
      </c>
    </row>
    <row r="11" spans="1:6" ht="29.1" customHeight="1">
      <c r="A11" s="251">
        <v>9</v>
      </c>
      <c r="B11" s="252" t="s">
        <v>892</v>
      </c>
      <c r="C11" s="251">
        <v>1</v>
      </c>
      <c r="D11" s="251" t="s">
        <v>653</v>
      </c>
      <c r="F11">
        <v>0.5</v>
      </c>
    </row>
    <row r="12" spans="1:6" ht="29.1" customHeight="1">
      <c r="A12" s="251">
        <v>10</v>
      </c>
      <c r="B12" s="252" t="s">
        <v>893</v>
      </c>
      <c r="C12" s="251">
        <v>1</v>
      </c>
      <c r="D12" s="251" t="s">
        <v>653</v>
      </c>
      <c r="F12">
        <v>0.7</v>
      </c>
    </row>
    <row r="13" spans="1:6" ht="29.1" customHeight="1">
      <c r="A13" s="251">
        <v>11</v>
      </c>
      <c r="B13" s="252" t="s">
        <v>661</v>
      </c>
      <c r="C13" s="251">
        <v>1</v>
      </c>
      <c r="D13" s="251" t="s">
        <v>653</v>
      </c>
    </row>
    <row r="14" spans="1:6" ht="29.1" customHeight="1">
      <c r="A14" s="251">
        <v>12</v>
      </c>
      <c r="B14" s="252" t="s">
        <v>894</v>
      </c>
      <c r="C14" s="251">
        <v>1</v>
      </c>
      <c r="D14" s="251" t="s">
        <v>653</v>
      </c>
      <c r="F14">
        <v>1.2</v>
      </c>
    </row>
    <row r="15" spans="1:6" ht="29.1" customHeight="1">
      <c r="A15" s="251">
        <v>13</v>
      </c>
      <c r="B15" s="252" t="s">
        <v>874</v>
      </c>
      <c r="C15" s="251">
        <v>1</v>
      </c>
      <c r="D15" s="251" t="s">
        <v>653</v>
      </c>
      <c r="F15">
        <v>0.7</v>
      </c>
    </row>
    <row r="16" spans="1:6" ht="15.95" customHeight="1">
      <c r="A16" s="251">
        <v>14</v>
      </c>
      <c r="B16" s="252" t="s">
        <v>895</v>
      </c>
      <c r="C16" s="251">
        <v>1</v>
      </c>
      <c r="D16" s="251" t="s">
        <v>653</v>
      </c>
    </row>
    <row r="17" spans="1:6" ht="15.95" customHeight="1">
      <c r="A17" s="251">
        <v>15</v>
      </c>
      <c r="B17" s="252" t="s">
        <v>896</v>
      </c>
      <c r="C17" s="251">
        <v>1</v>
      </c>
      <c r="D17" s="251" t="s">
        <v>653</v>
      </c>
      <c r="F17">
        <v>0.9</v>
      </c>
    </row>
    <row r="18" spans="1:6" ht="29.1" customHeight="1">
      <c r="A18" s="251">
        <v>16</v>
      </c>
      <c r="B18" s="252" t="s">
        <v>897</v>
      </c>
      <c r="C18" s="251">
        <v>1</v>
      </c>
      <c r="D18" s="251" t="s">
        <v>653</v>
      </c>
      <c r="F18">
        <f>F11+F12+F14+F15+F17</f>
        <v>3.9999999999999996</v>
      </c>
    </row>
    <row r="19" spans="1:6" ht="29.1" customHeight="1">
      <c r="A19" s="251">
        <v>17</v>
      </c>
      <c r="B19" s="252" t="s">
        <v>898</v>
      </c>
      <c r="C19" s="251">
        <v>1</v>
      </c>
      <c r="D19" s="251" t="s">
        <v>653</v>
      </c>
    </row>
    <row r="20" spans="1:6" ht="29.1" customHeight="1">
      <c r="A20" s="251">
        <v>18</v>
      </c>
      <c r="B20" s="252" t="s">
        <v>670</v>
      </c>
      <c r="C20" s="251">
        <v>1</v>
      </c>
      <c r="D20" s="251" t="s">
        <v>653</v>
      </c>
    </row>
    <row r="21" spans="1:6" ht="15.95" customHeight="1">
      <c r="A21" s="251">
        <v>19</v>
      </c>
      <c r="B21" s="252" t="s">
        <v>668</v>
      </c>
      <c r="C21" s="251">
        <v>1</v>
      </c>
      <c r="D21" s="251" t="s">
        <v>653</v>
      </c>
    </row>
    <row r="22" spans="1:6" ht="15.95" customHeight="1">
      <c r="A22" s="251">
        <v>20</v>
      </c>
      <c r="B22" s="252" t="s">
        <v>669</v>
      </c>
      <c r="C22" s="251">
        <v>1</v>
      </c>
      <c r="D22" s="251" t="s">
        <v>653</v>
      </c>
    </row>
    <row r="23" spans="1:6" ht="43.5" customHeight="1">
      <c r="A23" s="251" t="s">
        <v>899</v>
      </c>
      <c r="B23" s="252" t="s">
        <v>673</v>
      </c>
      <c r="C23" s="251">
        <v>1</v>
      </c>
      <c r="D23" s="251" t="s">
        <v>316</v>
      </c>
    </row>
    <row r="24" spans="1:6" ht="43.5" customHeight="1">
      <c r="A24" s="251" t="s">
        <v>899</v>
      </c>
      <c r="B24" s="252" t="s">
        <v>900</v>
      </c>
      <c r="C24" s="251">
        <v>1</v>
      </c>
      <c r="D24" s="251" t="s">
        <v>316</v>
      </c>
    </row>
    <row r="25" spans="1:6" ht="43.5" customHeight="1">
      <c r="A25" s="251" t="s">
        <v>899</v>
      </c>
      <c r="B25" s="252" t="s">
        <v>675</v>
      </c>
      <c r="C25" s="251">
        <v>1</v>
      </c>
      <c r="D25" s="251" t="s">
        <v>316</v>
      </c>
    </row>
    <row r="26" spans="1:6" ht="43.5" customHeight="1">
      <c r="A26" s="251" t="s">
        <v>899</v>
      </c>
      <c r="B26" s="252" t="s">
        <v>901</v>
      </c>
      <c r="C26" s="251">
        <v>1</v>
      </c>
      <c r="D26" s="251" t="s">
        <v>316</v>
      </c>
    </row>
    <row r="27" spans="1:6" ht="29.1" customHeight="1">
      <c r="A27" s="251" t="s">
        <v>899</v>
      </c>
      <c r="B27" s="252" t="s">
        <v>870</v>
      </c>
      <c r="C27" s="251">
        <v>4</v>
      </c>
      <c r="D27" s="251" t="s">
        <v>316</v>
      </c>
    </row>
    <row r="28" spans="1:6" ht="29.1" customHeight="1">
      <c r="A28" s="251" t="s">
        <v>899</v>
      </c>
      <c r="B28" s="252" t="s">
        <v>871</v>
      </c>
      <c r="C28" s="251">
        <v>2</v>
      </c>
      <c r="D28" s="251" t="s">
        <v>316</v>
      </c>
    </row>
    <row r="29" spans="1:6" ht="43.5" customHeight="1">
      <c r="A29" s="251" t="s">
        <v>899</v>
      </c>
      <c r="B29" s="252" t="s">
        <v>902</v>
      </c>
      <c r="C29" s="251">
        <v>1</v>
      </c>
      <c r="D29" s="251" t="s">
        <v>316</v>
      </c>
    </row>
    <row r="30" spans="1:6" ht="29.1" customHeight="1">
      <c r="A30" s="251" t="s">
        <v>899</v>
      </c>
      <c r="B30" s="252" t="s">
        <v>680</v>
      </c>
      <c r="C30" s="251">
        <v>1</v>
      </c>
      <c r="D30" s="251" t="s">
        <v>316</v>
      </c>
    </row>
    <row r="31" spans="1:6">
      <c r="B31" s="557" t="s">
        <v>904</v>
      </c>
      <c r="E31" t="s">
        <v>905</v>
      </c>
    </row>
    <row r="34" spans="2:2" ht="30">
      <c r="B34" s="599" t="s">
        <v>935</v>
      </c>
    </row>
    <row r="36" spans="2:2">
      <c r="B36" t="str">
        <f>LOWER(B34)</f>
        <v>cabo de cobre, têmpera mole, classe 5, 0,6/1kv, epr 90º, pp tetrapolar eprotenax gsette -
cor preta 2,5mm²</v>
      </c>
    </row>
  </sheetData>
  <mergeCells count="1">
    <mergeCell ref="A1:D1"/>
  </mergeCells>
  <conditionalFormatting sqref="B1:B1048576">
    <cfRule type="containsText" dxfId="1" priority="1" operator="containsText" text="FD">
      <formula>NOT(ISERROR(SEARCH("FD",B1)))</formula>
    </cfRule>
  </conditionalFormatting>
  <conditionalFormatting sqref="H7">
    <cfRule type="containsText" dxfId="0" priority="2" stopIfTrue="1" operator="containsText" text="FD">
      <formula>NOT(ISERROR(SEARCH("FD",H7)))</formula>
    </cfRule>
  </conditionalFormatting>
  <pageMargins left="0.4" right="0.4" top="0.5" bottom="0.5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6FE4-A329-421A-8E11-8DE3A5CDB565}">
  <dimension ref="A1:Q86"/>
  <sheetViews>
    <sheetView zoomScale="115" zoomScaleNormal="115" workbookViewId="0">
      <selection activeCell="B13" sqref="B13:J13"/>
    </sheetView>
  </sheetViews>
  <sheetFormatPr defaultColWidth="9.140625" defaultRowHeight="14.25"/>
  <cols>
    <col min="1" max="1" width="1.85546875" style="121" customWidth="1"/>
    <col min="2" max="2" width="1" style="121" customWidth="1"/>
    <col min="3" max="3" width="5" style="121" customWidth="1"/>
    <col min="4" max="4" width="2.85546875" style="121" customWidth="1"/>
    <col min="5" max="5" width="6.85546875" style="121" customWidth="1"/>
    <col min="6" max="6" width="2.85546875" style="121" customWidth="1"/>
    <col min="7" max="7" width="4" style="121" customWidth="1"/>
    <col min="8" max="8" width="2.85546875" style="121" customWidth="1"/>
    <col min="9" max="9" width="1.85546875" style="121" customWidth="1"/>
    <col min="10" max="10" width="6.140625" style="121" customWidth="1"/>
    <col min="11" max="11" width="4" style="121" customWidth="1"/>
    <col min="12" max="12" width="11.5703125" style="167" customWidth="1"/>
    <col min="13" max="13" width="4" style="121" customWidth="1"/>
    <col min="14" max="14" width="5.85546875" style="121" customWidth="1"/>
    <col min="15" max="15" width="1" style="121" customWidth="1"/>
    <col min="16" max="17" width="1.85546875" style="121" customWidth="1"/>
    <col min="18" max="16384" width="9.140625" style="121"/>
  </cols>
  <sheetData>
    <row r="1" spans="1:14" ht="13.7" customHeight="1">
      <c r="A1" s="402"/>
      <c r="B1" s="402"/>
      <c r="C1" s="402"/>
      <c r="D1" s="402"/>
      <c r="E1" s="402"/>
      <c r="F1" s="402"/>
      <c r="G1" s="402"/>
      <c r="H1" s="402"/>
      <c r="I1" s="402"/>
      <c r="J1" s="402"/>
      <c r="K1" s="146"/>
      <c r="L1" s="403"/>
      <c r="M1" s="403"/>
      <c r="N1" s="146"/>
    </row>
    <row r="2" spans="1:14" ht="13.35" customHeight="1">
      <c r="A2" s="147"/>
      <c r="B2" s="404" t="s">
        <v>774</v>
      </c>
      <c r="C2" s="404"/>
      <c r="D2" s="404"/>
      <c r="E2" s="404"/>
      <c r="F2" s="404"/>
      <c r="G2" s="404"/>
      <c r="H2" s="404"/>
      <c r="I2" s="404"/>
      <c r="J2" s="404"/>
      <c r="K2" s="148"/>
      <c r="L2" s="164" t="s">
        <v>684</v>
      </c>
      <c r="M2" s="404" t="s">
        <v>775</v>
      </c>
      <c r="N2" s="404"/>
    </row>
    <row r="3" spans="1:14" ht="15">
      <c r="A3" s="149"/>
      <c r="B3" s="401" t="s">
        <v>776</v>
      </c>
      <c r="C3" s="401"/>
      <c r="D3" s="401"/>
      <c r="E3" s="401"/>
      <c r="F3" s="401"/>
      <c r="G3" s="401"/>
      <c r="H3" s="401"/>
      <c r="I3" s="401"/>
      <c r="J3" s="401"/>
      <c r="K3" s="150">
        <v>1</v>
      </c>
      <c r="L3" s="165">
        <v>180.61</v>
      </c>
      <c r="M3" s="400">
        <v>180.61</v>
      </c>
      <c r="N3" s="400"/>
    </row>
    <row r="4" spans="1:14" ht="15">
      <c r="A4" s="149"/>
      <c r="B4" s="401" t="s">
        <v>777</v>
      </c>
      <c r="C4" s="401"/>
      <c r="D4" s="401"/>
      <c r="E4" s="401"/>
      <c r="F4" s="401"/>
      <c r="G4" s="401"/>
      <c r="H4" s="401"/>
      <c r="I4" s="401"/>
      <c r="J4" s="401"/>
      <c r="K4" s="150">
        <v>1</v>
      </c>
      <c r="L4" s="165">
        <v>117.81</v>
      </c>
      <c r="M4" s="400">
        <v>117.81</v>
      </c>
      <c r="N4" s="400"/>
    </row>
    <row r="5" spans="1:14" ht="15">
      <c r="A5" s="149"/>
      <c r="B5" s="399" t="s">
        <v>778</v>
      </c>
      <c r="C5" s="399"/>
      <c r="D5" s="399"/>
      <c r="E5" s="399"/>
      <c r="F5" s="399"/>
      <c r="G5" s="399"/>
      <c r="H5" s="399"/>
      <c r="I5" s="399"/>
      <c r="J5" s="399"/>
      <c r="K5" s="150">
        <v>1</v>
      </c>
      <c r="L5" s="165">
        <v>712.96</v>
      </c>
      <c r="M5" s="400">
        <v>712.96</v>
      </c>
      <c r="N5" s="400"/>
    </row>
    <row r="6" spans="1:14" ht="15">
      <c r="A6" s="149"/>
      <c r="B6" s="399" t="s">
        <v>779</v>
      </c>
      <c r="C6" s="399"/>
      <c r="D6" s="399"/>
      <c r="E6" s="399"/>
      <c r="F6" s="399"/>
      <c r="G6" s="399"/>
      <c r="H6" s="399"/>
      <c r="I6" s="399"/>
      <c r="J6" s="399"/>
      <c r="K6" s="150">
        <v>1</v>
      </c>
      <c r="L6" s="165">
        <v>666.2</v>
      </c>
      <c r="M6" s="400">
        <v>666.2</v>
      </c>
      <c r="N6" s="400"/>
    </row>
    <row r="7" spans="1:14" ht="15">
      <c r="A7" s="149"/>
      <c r="B7" s="399" t="s">
        <v>780</v>
      </c>
      <c r="C7" s="399"/>
      <c r="D7" s="399"/>
      <c r="E7" s="399"/>
      <c r="F7" s="399"/>
      <c r="G7" s="399"/>
      <c r="H7" s="399"/>
      <c r="I7" s="399"/>
      <c r="J7" s="399"/>
      <c r="K7" s="150">
        <v>1</v>
      </c>
      <c r="L7" s="165">
        <v>579.82000000000005</v>
      </c>
      <c r="M7" s="400">
        <v>579.82000000000005</v>
      </c>
      <c r="N7" s="400"/>
    </row>
    <row r="8" spans="1:14" ht="15">
      <c r="A8" s="149"/>
      <c r="B8" s="399" t="s">
        <v>781</v>
      </c>
      <c r="C8" s="399"/>
      <c r="D8" s="399"/>
      <c r="E8" s="399"/>
      <c r="F8" s="399"/>
      <c r="G8" s="399"/>
      <c r="H8" s="399"/>
      <c r="I8" s="399"/>
      <c r="J8" s="399"/>
      <c r="K8" s="150">
        <v>1</v>
      </c>
      <c r="L8" s="166">
        <v>1679.95</v>
      </c>
      <c r="M8" s="405">
        <v>1679.95</v>
      </c>
      <c r="N8" s="405"/>
    </row>
    <row r="9" spans="1:14" ht="15">
      <c r="A9" s="149"/>
      <c r="B9" s="399" t="s">
        <v>782</v>
      </c>
      <c r="C9" s="399"/>
      <c r="D9" s="399"/>
      <c r="E9" s="399"/>
      <c r="F9" s="399"/>
      <c r="G9" s="399"/>
      <c r="H9" s="399"/>
      <c r="I9" s="399"/>
      <c r="J9" s="399"/>
      <c r="K9" s="150">
        <v>1</v>
      </c>
      <c r="L9" s="165">
        <v>71.39</v>
      </c>
      <c r="M9" s="400">
        <v>71.39</v>
      </c>
      <c r="N9" s="400"/>
    </row>
    <row r="10" spans="1:14" ht="15">
      <c r="A10" s="149"/>
      <c r="B10" s="399" t="s">
        <v>783</v>
      </c>
      <c r="C10" s="399"/>
      <c r="D10" s="399"/>
      <c r="E10" s="399"/>
      <c r="F10" s="399"/>
      <c r="G10" s="399"/>
      <c r="H10" s="399"/>
      <c r="I10" s="399"/>
      <c r="J10" s="399"/>
      <c r="K10" s="150">
        <v>1</v>
      </c>
      <c r="L10" s="166">
        <v>1308.1500000000001</v>
      </c>
      <c r="M10" s="405">
        <v>1308.1500000000001</v>
      </c>
      <c r="N10" s="405"/>
    </row>
    <row r="11" spans="1:14" ht="15">
      <c r="A11" s="149"/>
      <c r="B11" s="399" t="s">
        <v>781</v>
      </c>
      <c r="C11" s="399"/>
      <c r="D11" s="399"/>
      <c r="E11" s="399"/>
      <c r="F11" s="399"/>
      <c r="G11" s="399"/>
      <c r="H11" s="399"/>
      <c r="I11" s="399"/>
      <c r="J11" s="399"/>
      <c r="K11" s="150">
        <v>1</v>
      </c>
      <c r="L11" s="166">
        <v>1679.95</v>
      </c>
      <c r="M11" s="405">
        <v>1679.95</v>
      </c>
      <c r="N11" s="405"/>
    </row>
    <row r="12" spans="1:14" ht="15">
      <c r="A12" s="149"/>
      <c r="B12" s="401" t="s">
        <v>784</v>
      </c>
      <c r="C12" s="401"/>
      <c r="D12" s="401"/>
      <c r="E12" s="401"/>
      <c r="F12" s="401"/>
      <c r="G12" s="401"/>
      <c r="H12" s="401"/>
      <c r="I12" s="401"/>
      <c r="J12" s="401"/>
      <c r="K12" s="150">
        <v>1</v>
      </c>
      <c r="L12" s="165">
        <v>338</v>
      </c>
      <c r="M12" s="400">
        <v>338</v>
      </c>
      <c r="N12" s="400"/>
    </row>
    <row r="13" spans="1:14" ht="15">
      <c r="A13" s="149"/>
      <c r="B13" s="399" t="s">
        <v>785</v>
      </c>
      <c r="C13" s="399"/>
      <c r="D13" s="399"/>
      <c r="E13" s="399"/>
      <c r="F13" s="399"/>
      <c r="G13" s="399"/>
      <c r="H13" s="399"/>
      <c r="I13" s="399"/>
      <c r="J13" s="399"/>
      <c r="K13" s="150">
        <v>1</v>
      </c>
      <c r="L13" s="165">
        <v>586.74</v>
      </c>
      <c r="M13" s="400">
        <v>586.74</v>
      </c>
      <c r="N13" s="400"/>
    </row>
    <row r="14" spans="1:14" ht="15">
      <c r="A14" s="149"/>
      <c r="B14" s="401" t="s">
        <v>777</v>
      </c>
      <c r="C14" s="401"/>
      <c r="D14" s="401"/>
      <c r="E14" s="401"/>
      <c r="F14" s="401"/>
      <c r="G14" s="401"/>
      <c r="H14" s="401"/>
      <c r="I14" s="401"/>
      <c r="J14" s="401"/>
      <c r="K14" s="150">
        <v>1</v>
      </c>
      <c r="L14" s="165">
        <v>117.81</v>
      </c>
      <c r="M14" s="400">
        <v>117.81</v>
      </c>
      <c r="N14" s="400"/>
    </row>
    <row r="15" spans="1:14" ht="15">
      <c r="A15" s="149"/>
      <c r="B15" s="401" t="s">
        <v>786</v>
      </c>
      <c r="C15" s="401"/>
      <c r="D15" s="401"/>
      <c r="E15" s="401"/>
      <c r="F15" s="401"/>
      <c r="G15" s="401"/>
      <c r="H15" s="401"/>
      <c r="I15" s="401"/>
      <c r="J15" s="401"/>
      <c r="K15" s="150">
        <v>1</v>
      </c>
      <c r="L15" s="165">
        <v>786.77</v>
      </c>
      <c r="M15" s="400">
        <v>786.77</v>
      </c>
      <c r="N15" s="400"/>
    </row>
    <row r="16" spans="1:14" ht="15">
      <c r="A16" s="149"/>
      <c r="B16" s="401" t="s">
        <v>787</v>
      </c>
      <c r="C16" s="401"/>
      <c r="D16" s="401"/>
      <c r="E16" s="401"/>
      <c r="F16" s="401"/>
      <c r="G16" s="401"/>
      <c r="H16" s="401"/>
      <c r="I16" s="401"/>
      <c r="J16" s="401"/>
      <c r="K16" s="150">
        <v>1</v>
      </c>
      <c r="L16" s="165">
        <v>704.77</v>
      </c>
      <c r="M16" s="400">
        <v>704.77</v>
      </c>
      <c r="N16" s="400"/>
    </row>
    <row r="17" spans="1:14" ht="15">
      <c r="A17" s="149"/>
      <c r="B17" s="401" t="s">
        <v>788</v>
      </c>
      <c r="C17" s="401"/>
      <c r="D17" s="401"/>
      <c r="E17" s="401"/>
      <c r="F17" s="401"/>
      <c r="G17" s="401"/>
      <c r="H17" s="401"/>
      <c r="I17" s="401"/>
      <c r="J17" s="401"/>
      <c r="K17" s="150">
        <v>1</v>
      </c>
      <c r="L17" s="166">
        <v>1067.49</v>
      </c>
      <c r="M17" s="405">
        <v>1067.49</v>
      </c>
      <c r="N17" s="405"/>
    </row>
    <row r="18" spans="1:14" ht="15">
      <c r="A18" s="149"/>
      <c r="B18" s="401" t="s">
        <v>789</v>
      </c>
      <c r="C18" s="401"/>
      <c r="D18" s="401"/>
      <c r="E18" s="401"/>
      <c r="F18" s="401"/>
      <c r="G18" s="401"/>
      <c r="H18" s="401"/>
      <c r="I18" s="401"/>
      <c r="J18" s="401"/>
      <c r="K18" s="150">
        <v>1</v>
      </c>
      <c r="L18" s="166">
        <v>1670.56</v>
      </c>
      <c r="M18" s="405">
        <v>1670.56</v>
      </c>
      <c r="N18" s="405"/>
    </row>
    <row r="19" spans="1:14" ht="15">
      <c r="A19" s="149"/>
      <c r="B19" s="401" t="s">
        <v>790</v>
      </c>
      <c r="C19" s="401"/>
      <c r="D19" s="401"/>
      <c r="E19" s="401"/>
      <c r="F19" s="401"/>
      <c r="G19" s="401"/>
      <c r="H19" s="401"/>
      <c r="I19" s="401"/>
      <c r="J19" s="401"/>
      <c r="K19" s="150">
        <v>1</v>
      </c>
      <c r="L19" s="165">
        <v>936.25</v>
      </c>
      <c r="M19" s="400">
        <v>936.25</v>
      </c>
      <c r="N19" s="400"/>
    </row>
    <row r="20" spans="1:14" ht="15">
      <c r="A20" s="149"/>
      <c r="B20" s="401" t="s">
        <v>791</v>
      </c>
      <c r="C20" s="401"/>
      <c r="D20" s="401"/>
      <c r="E20" s="401"/>
      <c r="F20" s="401"/>
      <c r="G20" s="401"/>
      <c r="H20" s="401"/>
      <c r="I20" s="401"/>
      <c r="J20" s="401"/>
      <c r="K20" s="150">
        <v>1</v>
      </c>
      <c r="L20" s="165">
        <v>935.48</v>
      </c>
      <c r="M20" s="400">
        <v>935.48</v>
      </c>
      <c r="N20" s="400"/>
    </row>
    <row r="21" spans="1:14" ht="15">
      <c r="A21" s="149"/>
      <c r="B21" s="401" t="s">
        <v>792</v>
      </c>
      <c r="C21" s="401"/>
      <c r="D21" s="401"/>
      <c r="E21" s="401"/>
      <c r="F21" s="401"/>
      <c r="G21" s="401"/>
      <c r="H21" s="401"/>
      <c r="I21" s="401"/>
      <c r="J21" s="401"/>
      <c r="K21" s="150">
        <v>3</v>
      </c>
      <c r="L21" s="166">
        <v>1115.8900000000001</v>
      </c>
      <c r="M21" s="405">
        <v>3347.67</v>
      </c>
      <c r="N21" s="405"/>
    </row>
    <row r="22" spans="1:14" ht="15">
      <c r="A22" s="149"/>
      <c r="B22" s="401" t="s">
        <v>793</v>
      </c>
      <c r="C22" s="401"/>
      <c r="D22" s="401"/>
      <c r="E22" s="401"/>
      <c r="F22" s="401"/>
      <c r="G22" s="401"/>
      <c r="H22" s="401"/>
      <c r="I22" s="401"/>
      <c r="J22" s="401"/>
      <c r="K22" s="150">
        <v>1</v>
      </c>
      <c r="L22" s="165">
        <v>638.08000000000004</v>
      </c>
      <c r="M22" s="400">
        <v>638.08000000000004</v>
      </c>
      <c r="N22" s="400"/>
    </row>
    <row r="23" spans="1:14" ht="15">
      <c r="A23" s="149"/>
      <c r="B23" s="401" t="s">
        <v>791</v>
      </c>
      <c r="C23" s="401"/>
      <c r="D23" s="401"/>
      <c r="E23" s="401"/>
      <c r="F23" s="401"/>
      <c r="G23" s="401"/>
      <c r="H23" s="401"/>
      <c r="I23" s="401"/>
      <c r="J23" s="401"/>
      <c r="K23" s="150">
        <v>2</v>
      </c>
      <c r="L23" s="165">
        <v>935.48</v>
      </c>
      <c r="M23" s="405">
        <v>1870.96</v>
      </c>
      <c r="N23" s="405"/>
    </row>
    <row r="24" spans="1:14" ht="15">
      <c r="A24" s="149"/>
      <c r="B24" s="401" t="s">
        <v>794</v>
      </c>
      <c r="C24" s="401"/>
      <c r="D24" s="401"/>
      <c r="E24" s="401"/>
      <c r="F24" s="401"/>
      <c r="G24" s="401"/>
      <c r="H24" s="401"/>
      <c r="I24" s="401"/>
      <c r="J24" s="401"/>
      <c r="K24" s="150">
        <v>1</v>
      </c>
      <c r="L24" s="166">
        <v>1279.96</v>
      </c>
      <c r="M24" s="405">
        <v>1279.96</v>
      </c>
      <c r="N24" s="405"/>
    </row>
    <row r="25" spans="1:14" ht="15">
      <c r="A25" s="149"/>
      <c r="B25" s="401" t="s">
        <v>795</v>
      </c>
      <c r="C25" s="401"/>
      <c r="D25" s="401"/>
      <c r="E25" s="401"/>
      <c r="F25" s="401"/>
      <c r="G25" s="401"/>
      <c r="H25" s="401"/>
      <c r="I25" s="401"/>
      <c r="J25" s="401"/>
      <c r="K25" s="150">
        <v>1</v>
      </c>
      <c r="L25" s="166">
        <v>1480.16</v>
      </c>
      <c r="M25" s="405">
        <v>1480.16</v>
      </c>
      <c r="N25" s="405"/>
    </row>
    <row r="26" spans="1:14" ht="15">
      <c r="A26" s="149"/>
      <c r="B26" s="401" t="s">
        <v>796</v>
      </c>
      <c r="C26" s="401"/>
      <c r="D26" s="401"/>
      <c r="E26" s="401"/>
      <c r="F26" s="401"/>
      <c r="G26" s="401"/>
      <c r="H26" s="401"/>
      <c r="I26" s="401"/>
      <c r="J26" s="401"/>
      <c r="K26" s="150">
        <v>1</v>
      </c>
      <c r="L26" s="166">
        <v>2111.42</v>
      </c>
      <c r="M26" s="405">
        <v>2111.42</v>
      </c>
      <c r="N26" s="405"/>
    </row>
    <row r="27" spans="1:14" ht="15">
      <c r="A27" s="149"/>
      <c r="B27" s="401" t="s">
        <v>797</v>
      </c>
      <c r="C27" s="401"/>
      <c r="D27" s="401"/>
      <c r="E27" s="401"/>
      <c r="F27" s="401"/>
      <c r="G27" s="401"/>
      <c r="H27" s="401"/>
      <c r="I27" s="401"/>
      <c r="J27" s="401"/>
      <c r="K27" s="150">
        <v>1</v>
      </c>
      <c r="L27" s="166">
        <v>1589.34</v>
      </c>
      <c r="M27" s="405">
        <v>1589.34</v>
      </c>
      <c r="N27" s="405"/>
    </row>
    <row r="28" spans="1:14" ht="15">
      <c r="A28" s="149"/>
      <c r="B28" s="401" t="s">
        <v>798</v>
      </c>
      <c r="C28" s="401"/>
      <c r="D28" s="401"/>
      <c r="E28" s="401"/>
      <c r="F28" s="401"/>
      <c r="G28" s="401"/>
      <c r="H28" s="401"/>
      <c r="I28" s="401"/>
      <c r="J28" s="401"/>
      <c r="K28" s="150">
        <v>2</v>
      </c>
      <c r="L28" s="165">
        <v>567.86</v>
      </c>
      <c r="M28" s="405">
        <v>1135.72</v>
      </c>
      <c r="N28" s="405"/>
    </row>
    <row r="29" spans="1:14" ht="15">
      <c r="A29" s="149"/>
      <c r="B29" s="401" t="s">
        <v>799</v>
      </c>
      <c r="C29" s="401"/>
      <c r="D29" s="401"/>
      <c r="E29" s="401"/>
      <c r="F29" s="401"/>
      <c r="G29" s="401"/>
      <c r="H29" s="401"/>
      <c r="I29" s="401"/>
      <c r="J29" s="401"/>
      <c r="K29" s="150">
        <v>1</v>
      </c>
      <c r="L29" s="166">
        <v>2233.66</v>
      </c>
      <c r="M29" s="405">
        <v>2233.66</v>
      </c>
      <c r="N29" s="405"/>
    </row>
    <row r="30" spans="1:14" ht="15">
      <c r="A30" s="149"/>
      <c r="B30" s="401" t="s">
        <v>790</v>
      </c>
      <c r="C30" s="401"/>
      <c r="D30" s="401"/>
      <c r="E30" s="401"/>
      <c r="F30" s="401"/>
      <c r="G30" s="401"/>
      <c r="H30" s="401"/>
      <c r="I30" s="401"/>
      <c r="J30" s="401"/>
      <c r="K30" s="150">
        <v>1</v>
      </c>
      <c r="L30" s="165">
        <v>936.25</v>
      </c>
      <c r="M30" s="400">
        <v>936.25</v>
      </c>
      <c r="N30" s="400"/>
    </row>
    <row r="31" spans="1:14" ht="15">
      <c r="A31" s="149"/>
      <c r="B31" s="401" t="s">
        <v>800</v>
      </c>
      <c r="C31" s="401"/>
      <c r="D31" s="401"/>
      <c r="E31" s="401"/>
      <c r="F31" s="401"/>
      <c r="G31" s="401"/>
      <c r="H31" s="401"/>
      <c r="I31" s="401"/>
      <c r="J31" s="401"/>
      <c r="K31" s="150">
        <v>1</v>
      </c>
      <c r="L31" s="166">
        <v>1103.28</v>
      </c>
      <c r="M31" s="405">
        <v>1103.28</v>
      </c>
      <c r="N31" s="405"/>
    </row>
    <row r="32" spans="1:14" ht="15">
      <c r="A32" s="149"/>
      <c r="B32" s="401" t="s">
        <v>801</v>
      </c>
      <c r="C32" s="401"/>
      <c r="D32" s="401"/>
      <c r="E32" s="401"/>
      <c r="F32" s="401"/>
      <c r="G32" s="401"/>
      <c r="H32" s="401"/>
      <c r="I32" s="401"/>
      <c r="J32" s="401"/>
      <c r="K32" s="150">
        <v>1</v>
      </c>
      <c r="L32" s="165">
        <v>875.37</v>
      </c>
      <c r="M32" s="400">
        <v>875.37</v>
      </c>
      <c r="N32" s="400"/>
    </row>
    <row r="33" spans="1:14" ht="15">
      <c r="A33" s="149"/>
      <c r="B33" s="401" t="s">
        <v>802</v>
      </c>
      <c r="C33" s="401"/>
      <c r="D33" s="401"/>
      <c r="E33" s="401"/>
      <c r="F33" s="401"/>
      <c r="G33" s="401"/>
      <c r="H33" s="401"/>
      <c r="I33" s="401"/>
      <c r="J33" s="401"/>
      <c r="K33" s="150">
        <v>1</v>
      </c>
      <c r="L33" s="166">
        <v>1530.3</v>
      </c>
      <c r="M33" s="405">
        <v>1530.3</v>
      </c>
      <c r="N33" s="405"/>
    </row>
    <row r="34" spans="1:14" ht="15">
      <c r="A34" s="149"/>
      <c r="B34" s="401" t="s">
        <v>803</v>
      </c>
      <c r="C34" s="401"/>
      <c r="D34" s="401"/>
      <c r="E34" s="401"/>
      <c r="F34" s="401"/>
      <c r="G34" s="401"/>
      <c r="H34" s="401"/>
      <c r="I34" s="401"/>
      <c r="J34" s="401"/>
      <c r="K34" s="150">
        <v>1</v>
      </c>
      <c r="L34" s="166">
        <v>1593.35</v>
      </c>
      <c r="M34" s="405">
        <v>1593.35</v>
      </c>
      <c r="N34" s="405"/>
    </row>
    <row r="35" spans="1:14" ht="15">
      <c r="A35" s="149"/>
      <c r="B35" s="401" t="s">
        <v>804</v>
      </c>
      <c r="C35" s="401"/>
      <c r="D35" s="401"/>
      <c r="E35" s="401"/>
      <c r="F35" s="401"/>
      <c r="G35" s="401"/>
      <c r="H35" s="401"/>
      <c r="I35" s="401"/>
      <c r="J35" s="401"/>
      <c r="K35" s="150">
        <v>2</v>
      </c>
      <c r="L35" s="166">
        <v>2600.9499999999998</v>
      </c>
      <c r="M35" s="405">
        <v>5201.8999999999996</v>
      </c>
      <c r="N35" s="405"/>
    </row>
    <row r="36" spans="1:14" ht="15">
      <c r="A36" s="149"/>
      <c r="B36" s="401" t="s">
        <v>805</v>
      </c>
      <c r="C36" s="401"/>
      <c r="D36" s="401"/>
      <c r="E36" s="401"/>
      <c r="F36" s="401"/>
      <c r="G36" s="401"/>
      <c r="H36" s="401"/>
      <c r="I36" s="401"/>
      <c r="J36" s="401"/>
      <c r="K36" s="150">
        <v>1</v>
      </c>
      <c r="L36" s="166">
        <v>4872.17</v>
      </c>
      <c r="M36" s="405">
        <v>4872.17</v>
      </c>
      <c r="N36" s="405"/>
    </row>
    <row r="37" spans="1:14" ht="15">
      <c r="A37" s="149"/>
      <c r="B37" s="401" t="s">
        <v>806</v>
      </c>
      <c r="C37" s="401"/>
      <c r="D37" s="401"/>
      <c r="E37" s="401"/>
      <c r="F37" s="401"/>
      <c r="G37" s="401"/>
      <c r="H37" s="401"/>
      <c r="I37" s="401"/>
      <c r="J37" s="401"/>
      <c r="K37" s="150">
        <v>1</v>
      </c>
      <c r="L37" s="165">
        <v>12.6</v>
      </c>
      <c r="M37" s="400">
        <v>12.6</v>
      </c>
      <c r="N37" s="400"/>
    </row>
    <row r="38" spans="1:14" ht="15">
      <c r="A38" s="149"/>
      <c r="B38" s="401" t="s">
        <v>807</v>
      </c>
      <c r="C38" s="401"/>
      <c r="D38" s="401"/>
      <c r="E38" s="401"/>
      <c r="F38" s="401"/>
      <c r="G38" s="401"/>
      <c r="H38" s="401"/>
      <c r="I38" s="401"/>
      <c r="J38" s="401"/>
      <c r="K38" s="150">
        <v>1</v>
      </c>
      <c r="L38" s="165">
        <v>50.5</v>
      </c>
      <c r="M38" s="400">
        <v>50.5</v>
      </c>
      <c r="N38" s="400"/>
    </row>
    <row r="39" spans="1:14" ht="15">
      <c r="A39" s="149"/>
      <c r="B39" s="401" t="s">
        <v>808</v>
      </c>
      <c r="C39" s="401"/>
      <c r="D39" s="401"/>
      <c r="E39" s="401"/>
      <c r="F39" s="401"/>
      <c r="G39" s="401"/>
      <c r="H39" s="401"/>
      <c r="I39" s="401"/>
      <c r="J39" s="401"/>
      <c r="K39" s="150">
        <v>2</v>
      </c>
      <c r="L39" s="165">
        <v>618.39</v>
      </c>
      <c r="M39" s="405">
        <v>1236.79</v>
      </c>
      <c r="N39" s="405"/>
    </row>
    <row r="40" spans="1:14" ht="15">
      <c r="A40" s="149"/>
      <c r="B40" s="401" t="s">
        <v>809</v>
      </c>
      <c r="C40" s="401"/>
      <c r="D40" s="401"/>
      <c r="E40" s="401"/>
      <c r="F40" s="401"/>
      <c r="G40" s="401"/>
      <c r="H40" s="401"/>
      <c r="I40" s="401"/>
      <c r="J40" s="401"/>
      <c r="K40" s="150">
        <v>5</v>
      </c>
      <c r="L40" s="165">
        <v>367.41</v>
      </c>
      <c r="M40" s="405">
        <v>1837.03</v>
      </c>
      <c r="N40" s="405"/>
    </row>
    <row r="41" spans="1:14" ht="15">
      <c r="A41" s="149"/>
      <c r="B41" s="401" t="s">
        <v>810</v>
      </c>
      <c r="C41" s="401"/>
      <c r="D41" s="401"/>
      <c r="E41" s="401"/>
      <c r="F41" s="401"/>
      <c r="G41" s="401"/>
      <c r="H41" s="401"/>
      <c r="I41" s="401"/>
      <c r="J41" s="401"/>
      <c r="K41" s="150">
        <v>1</v>
      </c>
      <c r="L41" s="165">
        <v>979.03</v>
      </c>
      <c r="M41" s="400">
        <v>979.03</v>
      </c>
      <c r="N41" s="400"/>
    </row>
    <row r="42" spans="1:14" ht="15">
      <c r="A42" s="149"/>
      <c r="B42" s="401" t="s">
        <v>811</v>
      </c>
      <c r="C42" s="401"/>
      <c r="D42" s="401"/>
      <c r="E42" s="401"/>
      <c r="F42" s="401"/>
      <c r="G42" s="401"/>
      <c r="H42" s="401"/>
      <c r="I42" s="401"/>
      <c r="J42" s="401"/>
      <c r="K42" s="150">
        <v>1</v>
      </c>
      <c r="L42" s="165">
        <v>544.76</v>
      </c>
      <c r="M42" s="400">
        <v>544.76</v>
      </c>
      <c r="N42" s="400"/>
    </row>
    <row r="43" spans="1:14" ht="15">
      <c r="A43" s="149"/>
      <c r="B43" s="401" t="s">
        <v>812</v>
      </c>
      <c r="C43" s="401"/>
      <c r="D43" s="401"/>
      <c r="E43" s="401"/>
      <c r="F43" s="401"/>
      <c r="G43" s="401"/>
      <c r="H43" s="401"/>
      <c r="I43" s="401"/>
      <c r="J43" s="401"/>
      <c r="K43" s="150">
        <v>1</v>
      </c>
      <c r="L43" s="165">
        <v>992.34</v>
      </c>
      <c r="M43" s="400">
        <v>992.34</v>
      </c>
      <c r="N43" s="400"/>
    </row>
    <row r="44" spans="1:14" ht="15">
      <c r="A44" s="149"/>
      <c r="B44" s="401" t="s">
        <v>813</v>
      </c>
      <c r="C44" s="401"/>
      <c r="D44" s="401"/>
      <c r="E44" s="401"/>
      <c r="F44" s="401"/>
      <c r="G44" s="401"/>
      <c r="H44" s="401"/>
      <c r="I44" s="401"/>
      <c r="J44" s="401"/>
      <c r="K44" s="150">
        <v>1</v>
      </c>
      <c r="L44" s="165">
        <v>733.85</v>
      </c>
      <c r="M44" s="400">
        <v>733.85</v>
      </c>
      <c r="N44" s="400"/>
    </row>
    <row r="45" spans="1:14" ht="15">
      <c r="A45" s="149"/>
      <c r="B45" s="401" t="s">
        <v>814</v>
      </c>
      <c r="C45" s="401"/>
      <c r="D45" s="401"/>
      <c r="E45" s="401"/>
      <c r="F45" s="401"/>
      <c r="G45" s="401"/>
      <c r="H45" s="401"/>
      <c r="I45" s="401"/>
      <c r="J45" s="401"/>
      <c r="K45" s="150">
        <v>3</v>
      </c>
      <c r="L45" s="165">
        <v>550.76</v>
      </c>
      <c r="M45" s="405">
        <v>1652.28</v>
      </c>
      <c r="N45" s="405"/>
    </row>
    <row r="46" spans="1:14" ht="15">
      <c r="A46" s="149"/>
      <c r="B46" s="401" t="s">
        <v>815</v>
      </c>
      <c r="C46" s="401"/>
      <c r="D46" s="401"/>
      <c r="E46" s="401"/>
      <c r="F46" s="401"/>
      <c r="G46" s="401"/>
      <c r="H46" s="401"/>
      <c r="I46" s="401"/>
      <c r="J46" s="401"/>
      <c r="K46" s="150">
        <v>4</v>
      </c>
      <c r="L46" s="165">
        <v>485.5</v>
      </c>
      <c r="M46" s="405">
        <v>1941.99</v>
      </c>
      <c r="N46" s="405"/>
    </row>
    <row r="47" spans="1:14" ht="15">
      <c r="A47" s="149"/>
      <c r="B47" s="401" t="s">
        <v>816</v>
      </c>
      <c r="C47" s="401"/>
      <c r="D47" s="401"/>
      <c r="E47" s="401"/>
      <c r="F47" s="401"/>
      <c r="G47" s="401"/>
      <c r="H47" s="401"/>
      <c r="I47" s="401"/>
      <c r="J47" s="401"/>
      <c r="K47" s="150">
        <v>3</v>
      </c>
      <c r="L47" s="165">
        <v>339.67</v>
      </c>
      <c r="M47" s="405">
        <v>1019.02</v>
      </c>
      <c r="N47" s="405"/>
    </row>
    <row r="48" spans="1:14" ht="15">
      <c r="A48" s="149"/>
      <c r="B48" s="401" t="s">
        <v>817</v>
      </c>
      <c r="C48" s="401"/>
      <c r="D48" s="401"/>
      <c r="E48" s="401"/>
      <c r="F48" s="401"/>
      <c r="G48" s="401"/>
      <c r="H48" s="401"/>
      <c r="I48" s="401"/>
      <c r="J48" s="401"/>
      <c r="K48" s="150">
        <v>2</v>
      </c>
      <c r="L48" s="166">
        <v>1043.03</v>
      </c>
      <c r="M48" s="405">
        <v>2086.06</v>
      </c>
      <c r="N48" s="405"/>
    </row>
    <row r="49" spans="1:17" ht="15">
      <c r="A49" s="149"/>
      <c r="B49" s="401" t="s">
        <v>817</v>
      </c>
      <c r="C49" s="401"/>
      <c r="D49" s="401"/>
      <c r="E49" s="401"/>
      <c r="F49" s="401"/>
      <c r="G49" s="401"/>
      <c r="H49" s="401"/>
      <c r="I49" s="401"/>
      <c r="J49" s="401"/>
      <c r="K49" s="150">
        <v>1</v>
      </c>
      <c r="L49" s="166">
        <v>1043.03</v>
      </c>
      <c r="M49" s="405">
        <v>1043.03</v>
      </c>
      <c r="N49" s="405"/>
    </row>
    <row r="50" spans="1:17" ht="15">
      <c r="A50" s="149"/>
      <c r="B50" s="401" t="s">
        <v>818</v>
      </c>
      <c r="C50" s="401"/>
      <c r="D50" s="401"/>
      <c r="E50" s="401"/>
      <c r="F50" s="401"/>
      <c r="G50" s="401"/>
      <c r="H50" s="401"/>
      <c r="I50" s="401"/>
      <c r="J50" s="401"/>
      <c r="K50" s="150">
        <v>2</v>
      </c>
      <c r="L50" s="166">
        <v>2204.96</v>
      </c>
      <c r="M50" s="405">
        <v>4409.92</v>
      </c>
      <c r="N50" s="405"/>
    </row>
    <row r="51" spans="1:17" ht="15">
      <c r="A51" s="149"/>
      <c r="B51" s="401" t="s">
        <v>819</v>
      </c>
      <c r="C51" s="401"/>
      <c r="D51" s="401"/>
      <c r="E51" s="401"/>
      <c r="F51" s="401"/>
      <c r="G51" s="401"/>
      <c r="H51" s="401"/>
      <c r="I51" s="401"/>
      <c r="J51" s="401"/>
      <c r="K51" s="150">
        <v>2</v>
      </c>
      <c r="L51" s="166">
        <v>1371.33</v>
      </c>
      <c r="M51" s="405">
        <v>2742.66</v>
      </c>
      <c r="N51" s="405"/>
    </row>
    <row r="52" spans="1:17" ht="15">
      <c r="A52" s="149"/>
      <c r="B52" s="401" t="s">
        <v>790</v>
      </c>
      <c r="C52" s="401"/>
      <c r="D52" s="401"/>
      <c r="E52" s="401"/>
      <c r="F52" s="401"/>
      <c r="G52" s="401"/>
      <c r="H52" s="401"/>
      <c r="I52" s="401"/>
      <c r="J52" s="401"/>
      <c r="K52" s="150">
        <v>1</v>
      </c>
      <c r="L52" s="165">
        <v>936.25</v>
      </c>
      <c r="M52" s="400">
        <v>936.25</v>
      </c>
      <c r="N52" s="400"/>
    </row>
    <row r="53" spans="1:17" ht="15">
      <c r="A53" s="149"/>
      <c r="B53" s="401" t="s">
        <v>820</v>
      </c>
      <c r="C53" s="401"/>
      <c r="D53" s="401"/>
      <c r="E53" s="401"/>
      <c r="F53" s="401"/>
      <c r="G53" s="401"/>
      <c r="H53" s="401"/>
      <c r="I53" s="401"/>
      <c r="J53" s="401"/>
      <c r="K53" s="150">
        <v>1</v>
      </c>
      <c r="L53" s="165">
        <v>559.66999999999996</v>
      </c>
      <c r="M53" s="400">
        <v>559.66999999999996</v>
      </c>
      <c r="N53" s="400"/>
    </row>
    <row r="54" spans="1:17" ht="15">
      <c r="A54" s="149"/>
      <c r="B54" s="401" t="s">
        <v>821</v>
      </c>
      <c r="C54" s="401"/>
      <c r="D54" s="401"/>
      <c r="E54" s="401"/>
      <c r="F54" s="401"/>
      <c r="G54" s="401"/>
      <c r="H54" s="401"/>
      <c r="I54" s="401"/>
      <c r="J54" s="401"/>
      <c r="K54" s="150">
        <v>1</v>
      </c>
      <c r="L54" s="165">
        <v>944.77</v>
      </c>
      <c r="M54" s="400">
        <v>944.77</v>
      </c>
      <c r="N54" s="400"/>
    </row>
    <row r="55" spans="1:17" ht="15">
      <c r="A55" s="149"/>
      <c r="B55" s="401" t="s">
        <v>790</v>
      </c>
      <c r="C55" s="401"/>
      <c r="D55" s="401"/>
      <c r="E55" s="401"/>
      <c r="F55" s="401"/>
      <c r="G55" s="401"/>
      <c r="H55" s="401"/>
      <c r="I55" s="401"/>
      <c r="J55" s="401"/>
      <c r="K55" s="150">
        <v>1</v>
      </c>
      <c r="L55" s="165">
        <v>936.25</v>
      </c>
      <c r="M55" s="400">
        <v>936.25</v>
      </c>
      <c r="N55" s="400"/>
    </row>
    <row r="56" spans="1:17" ht="15">
      <c r="A56" s="149"/>
      <c r="B56" s="401" t="s">
        <v>822</v>
      </c>
      <c r="C56" s="401"/>
      <c r="D56" s="401"/>
      <c r="E56" s="401"/>
      <c r="F56" s="401"/>
      <c r="G56" s="401"/>
      <c r="H56" s="401"/>
      <c r="I56" s="401"/>
      <c r="J56" s="401"/>
      <c r="K56" s="150">
        <v>1</v>
      </c>
      <c r="L56" s="165">
        <v>668.54</v>
      </c>
      <c r="M56" s="400">
        <v>668.54</v>
      </c>
      <c r="N56" s="400"/>
    </row>
    <row r="57" spans="1:17" ht="15">
      <c r="A57" s="149"/>
      <c r="B57" s="401" t="s">
        <v>823</v>
      </c>
      <c r="C57" s="401"/>
      <c r="D57" s="401"/>
      <c r="E57" s="401"/>
      <c r="F57" s="401"/>
      <c r="G57" s="401"/>
      <c r="H57" s="401"/>
      <c r="I57" s="401"/>
      <c r="J57" s="401"/>
      <c r="K57" s="150">
        <v>1</v>
      </c>
      <c r="L57" s="166">
        <v>1113.92</v>
      </c>
      <c r="M57" s="405">
        <v>1113.92</v>
      </c>
      <c r="N57" s="405"/>
    </row>
    <row r="58" spans="1:17" ht="15">
      <c r="A58" s="149"/>
      <c r="B58" s="401" t="s">
        <v>824</v>
      </c>
      <c r="C58" s="401"/>
      <c r="D58" s="401"/>
      <c r="E58" s="401"/>
      <c r="F58" s="401"/>
      <c r="G58" s="401"/>
      <c r="H58" s="401"/>
      <c r="I58" s="401"/>
      <c r="J58" s="401"/>
      <c r="K58" s="150">
        <v>1</v>
      </c>
      <c r="L58" s="166">
        <v>1173.4100000000001</v>
      </c>
      <c r="M58" s="405">
        <v>1173.4100000000001</v>
      </c>
      <c r="N58" s="405"/>
    </row>
    <row r="59" spans="1:17" ht="12" customHeight="1">
      <c r="A59" s="406"/>
      <c r="B59" s="406"/>
      <c r="C59" s="406"/>
      <c r="D59" s="406"/>
      <c r="E59" s="406"/>
      <c r="F59" s="406"/>
      <c r="G59" s="406"/>
      <c r="H59" s="406"/>
      <c r="I59" s="406"/>
      <c r="J59" s="406"/>
      <c r="K59" s="406"/>
      <c r="L59" s="406"/>
      <c r="M59" s="406"/>
      <c r="N59" s="406"/>
      <c r="O59" s="406"/>
      <c r="P59" s="406"/>
    </row>
    <row r="60" spans="1:17" ht="15" customHeight="1"/>
    <row r="61" spans="1:17" ht="140.25" customHeight="1">
      <c r="A61" s="407"/>
      <c r="B61" s="407"/>
      <c r="C61" s="407"/>
      <c r="D61" s="407"/>
      <c r="E61" s="407" t="s">
        <v>825</v>
      </c>
      <c r="F61" s="407"/>
      <c r="G61" s="407"/>
      <c r="H61" s="407"/>
      <c r="I61" s="408" t="s">
        <v>826</v>
      </c>
      <c r="J61" s="408"/>
      <c r="K61" s="152"/>
      <c r="L61" s="409"/>
      <c r="M61" s="409"/>
      <c r="N61" s="409"/>
      <c r="O61" s="409"/>
      <c r="P61" s="409"/>
      <c r="Q61" s="409"/>
    </row>
    <row r="62" spans="1:17" ht="18.95" customHeight="1">
      <c r="A62" s="153"/>
      <c r="B62" s="414" t="s">
        <v>827</v>
      </c>
      <c r="C62" s="414"/>
      <c r="D62" s="414"/>
      <c r="E62" s="414"/>
      <c r="F62" s="414"/>
      <c r="G62" s="414"/>
      <c r="H62" s="414"/>
      <c r="I62" s="414"/>
      <c r="J62" s="154" t="s">
        <v>828</v>
      </c>
      <c r="K62" s="155"/>
      <c r="L62" s="415"/>
      <c r="M62" s="415"/>
      <c r="N62" s="415"/>
      <c r="O62" s="415"/>
      <c r="P62" s="415"/>
      <c r="Q62" s="415"/>
    </row>
    <row r="63" spans="1:17" ht="11.25" customHeight="1">
      <c r="A63" s="416"/>
      <c r="B63" s="416"/>
      <c r="C63" s="416"/>
      <c r="D63" s="416"/>
      <c r="E63" s="416"/>
      <c r="F63" s="416"/>
      <c r="G63" s="416"/>
      <c r="H63" s="416"/>
      <c r="I63" s="416"/>
      <c r="J63" s="416"/>
      <c r="K63" s="416"/>
      <c r="L63" s="416"/>
      <c r="M63" s="416"/>
      <c r="N63" s="416"/>
      <c r="O63" s="416"/>
      <c r="P63" s="416"/>
      <c r="Q63" s="416"/>
    </row>
    <row r="64" spans="1:17" ht="11.25" customHeight="1">
      <c r="A64" s="417"/>
      <c r="B64" s="417"/>
      <c r="C64" s="417"/>
      <c r="D64" s="417"/>
      <c r="E64" s="417"/>
      <c r="F64" s="417"/>
      <c r="G64" s="418" t="s">
        <v>829</v>
      </c>
      <c r="H64" s="418"/>
      <c r="I64" s="413" t="s">
        <v>830</v>
      </c>
      <c r="J64" s="413"/>
      <c r="K64" s="413"/>
      <c r="L64" s="168" t="s">
        <v>843</v>
      </c>
      <c r="M64" s="410"/>
      <c r="N64" s="410"/>
      <c r="O64" s="410"/>
      <c r="P64" s="410"/>
      <c r="Q64" s="410"/>
    </row>
    <row r="65" spans="1:17" ht="12" customHeight="1">
      <c r="A65" s="410" t="s">
        <v>831</v>
      </c>
      <c r="B65" s="410"/>
      <c r="C65" s="410"/>
      <c r="D65" s="410"/>
      <c r="E65" s="410"/>
      <c r="F65" s="410"/>
      <c r="G65" s="410"/>
      <c r="H65" s="411" t="s">
        <v>832</v>
      </c>
      <c r="I65" s="411"/>
      <c r="J65" s="411"/>
      <c r="K65" s="410" t="s">
        <v>833</v>
      </c>
      <c r="L65" s="410"/>
      <c r="M65" s="410"/>
      <c r="N65" s="410"/>
      <c r="O65" s="410"/>
      <c r="P65" s="410"/>
      <c r="Q65" s="410"/>
    </row>
    <row r="66" spans="1:17" ht="16.5" customHeight="1">
      <c r="A66" s="412"/>
      <c r="B66" s="412"/>
      <c r="C66" s="412"/>
      <c r="D66" s="412"/>
      <c r="E66" s="412"/>
      <c r="F66" s="412"/>
      <c r="G66" s="412"/>
      <c r="H66" s="412"/>
      <c r="I66" s="412"/>
      <c r="J66" s="412"/>
      <c r="K66" s="413"/>
      <c r="L66" s="413"/>
      <c r="M66" s="413"/>
      <c r="N66" s="413"/>
      <c r="O66" s="413"/>
      <c r="P66" s="413"/>
      <c r="Q66" s="413"/>
    </row>
    <row r="67" spans="1:17" ht="12.75" customHeight="1">
      <c r="A67" s="147"/>
      <c r="B67" s="404" t="s">
        <v>774</v>
      </c>
      <c r="C67" s="404"/>
      <c r="D67" s="404"/>
      <c r="E67" s="404"/>
      <c r="F67" s="404"/>
      <c r="G67" s="404"/>
      <c r="H67" s="404"/>
      <c r="I67" s="404"/>
      <c r="J67" s="156" t="s">
        <v>834</v>
      </c>
      <c r="K67" s="147"/>
      <c r="L67" s="168"/>
      <c r="M67" s="404" t="s">
        <v>775</v>
      </c>
      <c r="N67" s="404"/>
      <c r="O67" s="404"/>
      <c r="P67" s="407"/>
      <c r="Q67" s="407"/>
    </row>
    <row r="68" spans="1:17" ht="9.9499999999999993" customHeight="1">
      <c r="A68" s="157"/>
      <c r="B68" s="401" t="s">
        <v>791</v>
      </c>
      <c r="C68" s="401"/>
      <c r="D68" s="401"/>
      <c r="E68" s="401"/>
      <c r="F68" s="401"/>
      <c r="G68" s="401"/>
      <c r="H68" s="401"/>
      <c r="I68" s="401"/>
      <c r="J68" s="158" t="s">
        <v>835</v>
      </c>
      <c r="K68" s="159"/>
      <c r="L68" s="169"/>
      <c r="M68" s="400">
        <v>935.48</v>
      </c>
      <c r="N68" s="400"/>
      <c r="O68" s="400"/>
      <c r="P68" s="407"/>
      <c r="Q68" s="407"/>
    </row>
    <row r="69" spans="1:17" ht="9.9499999999999993" customHeight="1">
      <c r="A69" s="157"/>
      <c r="B69" s="401" t="s">
        <v>836</v>
      </c>
      <c r="C69" s="401"/>
      <c r="D69" s="401"/>
      <c r="E69" s="401"/>
      <c r="F69" s="401"/>
      <c r="G69" s="401"/>
      <c r="H69" s="401"/>
      <c r="I69" s="401"/>
      <c r="J69" s="158" t="s">
        <v>835</v>
      </c>
      <c r="K69" s="159"/>
      <c r="L69" s="169"/>
      <c r="M69" s="419">
        <v>8.56</v>
      </c>
      <c r="N69" s="419"/>
      <c r="O69" s="419"/>
      <c r="P69" s="407"/>
      <c r="Q69" s="407"/>
    </row>
    <row r="70" spans="1:17" ht="9" customHeight="1">
      <c r="A70" s="157"/>
      <c r="B70" s="401" t="s">
        <v>837</v>
      </c>
      <c r="C70" s="401"/>
      <c r="D70" s="401"/>
      <c r="E70" s="401"/>
      <c r="F70" s="401"/>
      <c r="G70" s="401"/>
      <c r="H70" s="401"/>
      <c r="I70" s="401"/>
      <c r="J70" s="158" t="s">
        <v>838</v>
      </c>
      <c r="K70" s="159"/>
      <c r="L70" s="170"/>
      <c r="M70" s="400">
        <v>40.450000000000003</v>
      </c>
      <c r="N70" s="400"/>
      <c r="O70" s="400"/>
      <c r="P70" s="407"/>
      <c r="Q70" s="407"/>
    </row>
    <row r="71" spans="1:17" ht="9.9499999999999993" customHeight="1">
      <c r="A71" s="157"/>
      <c r="B71" s="401" t="s">
        <v>839</v>
      </c>
      <c r="C71" s="401"/>
      <c r="D71" s="401"/>
      <c r="E71" s="401"/>
      <c r="F71" s="401"/>
      <c r="G71" s="401"/>
      <c r="H71" s="401"/>
      <c r="I71" s="401"/>
      <c r="J71" s="158" t="s">
        <v>835</v>
      </c>
      <c r="K71" s="159"/>
      <c r="L71" s="169"/>
      <c r="M71" s="400">
        <v>13.32</v>
      </c>
      <c r="N71" s="400"/>
      <c r="O71" s="400"/>
      <c r="P71" s="407"/>
      <c r="Q71" s="407"/>
    </row>
    <row r="72" spans="1:17" ht="9.9499999999999993" customHeight="1">
      <c r="A72" s="157"/>
      <c r="B72" s="401" t="s">
        <v>837</v>
      </c>
      <c r="C72" s="401"/>
      <c r="D72" s="401"/>
      <c r="E72" s="401"/>
      <c r="F72" s="401"/>
      <c r="G72" s="401"/>
      <c r="H72" s="401"/>
      <c r="I72" s="401"/>
      <c r="J72" s="158" t="s">
        <v>838</v>
      </c>
      <c r="K72" s="159"/>
      <c r="L72" s="170"/>
      <c r="M72" s="400">
        <v>80.900000000000006</v>
      </c>
      <c r="N72" s="400"/>
      <c r="O72" s="400"/>
      <c r="P72" s="407"/>
      <c r="Q72" s="407"/>
    </row>
    <row r="73" spans="1:17" ht="9" customHeight="1">
      <c r="A73" s="157"/>
      <c r="B73" s="401" t="s">
        <v>806</v>
      </c>
      <c r="C73" s="401"/>
      <c r="D73" s="401"/>
      <c r="E73" s="401"/>
      <c r="F73" s="401"/>
      <c r="G73" s="401"/>
      <c r="H73" s="401"/>
      <c r="I73" s="401"/>
      <c r="J73" s="158" t="s">
        <v>835</v>
      </c>
      <c r="K73" s="159"/>
      <c r="L73" s="169"/>
      <c r="M73" s="400">
        <v>25.2</v>
      </c>
      <c r="N73" s="400"/>
      <c r="O73" s="400"/>
      <c r="P73" s="407"/>
      <c r="Q73" s="407"/>
    </row>
    <row r="74" spans="1:17" ht="12.6" customHeight="1">
      <c r="A74" s="160"/>
      <c r="B74" s="420" t="s">
        <v>840</v>
      </c>
      <c r="C74" s="420"/>
      <c r="D74" s="420"/>
      <c r="E74" s="420"/>
      <c r="F74" s="420"/>
      <c r="G74" s="420"/>
      <c r="H74" s="420"/>
      <c r="I74" s="420"/>
      <c r="J74" s="161" t="s">
        <v>838</v>
      </c>
      <c r="K74" s="162"/>
      <c r="L74" s="171"/>
      <c r="M74" s="421">
        <v>128</v>
      </c>
      <c r="N74" s="421"/>
      <c r="O74" s="421"/>
      <c r="P74" s="407"/>
      <c r="Q74" s="407"/>
    </row>
    <row r="75" spans="1:17" ht="6.95" customHeight="1">
      <c r="A75" s="151"/>
      <c r="B75" s="151"/>
      <c r="C75" s="151"/>
      <c r="D75" s="422">
        <v>2024.47</v>
      </c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2"/>
      <c r="Q75" s="422"/>
    </row>
    <row r="76" spans="1:17" ht="7.5" customHeight="1">
      <c r="A76" s="151"/>
      <c r="B76" s="151"/>
      <c r="C76" s="151"/>
      <c r="D76" s="422"/>
      <c r="E76" s="422"/>
      <c r="F76" s="422"/>
      <c r="G76" s="422"/>
      <c r="H76" s="422"/>
      <c r="I76" s="422"/>
      <c r="J76" s="422"/>
      <c r="K76" s="422"/>
      <c r="L76" s="422"/>
      <c r="M76" s="422"/>
      <c r="N76" s="422"/>
      <c r="O76" s="422"/>
      <c r="P76" s="422"/>
      <c r="Q76" s="422"/>
    </row>
    <row r="77" spans="1:17" ht="5.25" customHeight="1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72"/>
      <c r="M77" s="407"/>
      <c r="N77" s="407"/>
      <c r="O77" s="151"/>
      <c r="P77" s="407"/>
      <c r="Q77" s="407"/>
    </row>
    <row r="78" spans="1:17" ht="5.25" customHeight="1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402"/>
      <c r="M78" s="402"/>
      <c r="N78" s="426"/>
      <c r="O78" s="151"/>
      <c r="P78" s="407"/>
      <c r="Q78" s="407"/>
    </row>
    <row r="79" spans="1:17" ht="23.25" customHeight="1">
      <c r="A79" s="163"/>
      <c r="B79" s="163"/>
      <c r="C79" s="163"/>
      <c r="D79" s="163"/>
      <c r="E79" s="163"/>
      <c r="F79" s="163"/>
      <c r="G79" s="163"/>
      <c r="H79" s="163"/>
      <c r="I79" s="163"/>
      <c r="J79" s="163"/>
      <c r="K79" s="153"/>
      <c r="L79" s="416"/>
      <c r="M79" s="416"/>
      <c r="N79" s="427"/>
      <c r="O79" s="163"/>
      <c r="P79" s="423"/>
      <c r="Q79" s="423"/>
    </row>
    <row r="80" spans="1:17" ht="23.25" customHeight="1">
      <c r="A80" s="418"/>
      <c r="B80" s="418"/>
      <c r="C80" s="418"/>
      <c r="D80" s="418"/>
      <c r="E80" s="418"/>
      <c r="F80" s="430" t="s">
        <v>841</v>
      </c>
      <c r="G80" s="430"/>
      <c r="H80" s="430"/>
      <c r="I80" s="430"/>
      <c r="J80" s="430"/>
      <c r="K80" s="430"/>
      <c r="L80" s="416"/>
      <c r="M80" s="416"/>
      <c r="N80" s="427"/>
      <c r="O80" s="163"/>
      <c r="P80" s="423"/>
      <c r="Q80" s="423"/>
    </row>
    <row r="81" spans="1:17" ht="24.95" customHeight="1">
      <c r="A81" s="416"/>
      <c r="B81" s="416"/>
      <c r="C81" s="414" t="s">
        <v>842</v>
      </c>
      <c r="D81" s="414"/>
      <c r="E81" s="414"/>
      <c r="F81" s="414"/>
      <c r="G81" s="414"/>
      <c r="H81" s="414"/>
      <c r="I81" s="414"/>
      <c r="J81" s="414"/>
      <c r="K81" s="163"/>
      <c r="L81" s="428"/>
      <c r="M81" s="428"/>
      <c r="N81" s="429"/>
      <c r="O81" s="163"/>
      <c r="P81" s="423"/>
      <c r="Q81" s="423"/>
    </row>
    <row r="82" spans="1:17" ht="17.45" customHeight="1">
      <c r="A82" s="416"/>
      <c r="B82" s="416"/>
      <c r="C82" s="414"/>
      <c r="D82" s="414"/>
      <c r="E82" s="414"/>
      <c r="F82" s="414"/>
      <c r="G82" s="414"/>
      <c r="H82" s="414"/>
      <c r="I82" s="414"/>
      <c r="J82" s="414"/>
      <c r="K82" s="163"/>
      <c r="L82" s="173"/>
      <c r="M82" s="423"/>
      <c r="N82" s="423"/>
      <c r="O82" s="163"/>
      <c r="P82" s="423"/>
      <c r="Q82" s="423"/>
    </row>
    <row r="83" spans="1:17" ht="39" customHeight="1">
      <c r="A83" s="424"/>
      <c r="B83" s="424"/>
      <c r="C83" s="424"/>
      <c r="D83" s="424"/>
      <c r="E83" s="424"/>
      <c r="F83" s="424"/>
      <c r="G83" s="424"/>
      <c r="H83" s="424"/>
      <c r="I83" s="424"/>
      <c r="J83" s="424"/>
      <c r="K83" s="424"/>
      <c r="L83" s="424"/>
      <c r="M83" s="424"/>
      <c r="N83" s="424"/>
      <c r="O83" s="424"/>
      <c r="P83" s="424"/>
      <c r="Q83" s="424"/>
    </row>
    <row r="84" spans="1:17" ht="132.94999999999999" customHeight="1">
      <c r="A84" s="413"/>
      <c r="B84" s="413"/>
      <c r="C84" s="413"/>
      <c r="D84" s="413"/>
      <c r="E84" s="413"/>
      <c r="F84" s="413"/>
      <c r="G84" s="413"/>
      <c r="H84" s="413"/>
      <c r="I84" s="413"/>
      <c r="J84" s="413"/>
      <c r="K84" s="413"/>
      <c r="L84" s="413"/>
      <c r="M84" s="413"/>
      <c r="N84" s="413"/>
      <c r="O84" s="413"/>
      <c r="P84" s="413"/>
      <c r="Q84" s="413"/>
    </row>
    <row r="85" spans="1:17" ht="28.7" customHeight="1">
      <c r="A85" s="425"/>
      <c r="B85" s="425"/>
      <c r="C85" s="425"/>
      <c r="D85" s="425"/>
      <c r="E85" s="425"/>
      <c r="F85" s="425"/>
      <c r="G85" s="425"/>
      <c r="H85" s="425"/>
      <c r="I85" s="425"/>
      <c r="J85" s="425"/>
      <c r="K85" s="425"/>
      <c r="L85" s="425"/>
      <c r="M85" s="425"/>
      <c r="N85" s="425"/>
      <c r="O85" s="425"/>
      <c r="P85" s="425"/>
      <c r="Q85" s="425"/>
    </row>
    <row r="86" spans="1:17" ht="15" customHeight="1"/>
  </sheetData>
  <mergeCells count="174">
    <mergeCell ref="P82:Q82"/>
    <mergeCell ref="A83:Q83"/>
    <mergeCell ref="A84:Q84"/>
    <mergeCell ref="A85:Q85"/>
    <mergeCell ref="L78:N81"/>
    <mergeCell ref="P78:Q78"/>
    <mergeCell ref="P79:Q79"/>
    <mergeCell ref="A80:E80"/>
    <mergeCell ref="F80:K80"/>
    <mergeCell ref="P80:Q80"/>
    <mergeCell ref="A81:B82"/>
    <mergeCell ref="C81:J82"/>
    <mergeCell ref="P81:Q81"/>
    <mergeCell ref="M82:N82"/>
    <mergeCell ref="B74:I74"/>
    <mergeCell ref="M74:O74"/>
    <mergeCell ref="P74:Q74"/>
    <mergeCell ref="D75:Q76"/>
    <mergeCell ref="M77:N77"/>
    <mergeCell ref="P77:Q77"/>
    <mergeCell ref="B72:I72"/>
    <mergeCell ref="M72:O72"/>
    <mergeCell ref="P72:Q72"/>
    <mergeCell ref="B73:I73"/>
    <mergeCell ref="M73:O73"/>
    <mergeCell ref="P73:Q73"/>
    <mergeCell ref="B70:I70"/>
    <mergeCell ref="M70:O70"/>
    <mergeCell ref="P70:Q70"/>
    <mergeCell ref="B71:I71"/>
    <mergeCell ref="M71:O71"/>
    <mergeCell ref="P71:Q71"/>
    <mergeCell ref="B68:I68"/>
    <mergeCell ref="M68:O68"/>
    <mergeCell ref="P68:Q68"/>
    <mergeCell ref="B69:I69"/>
    <mergeCell ref="M69:O69"/>
    <mergeCell ref="P69:Q69"/>
    <mergeCell ref="A65:G65"/>
    <mergeCell ref="H65:J65"/>
    <mergeCell ref="K65:Q65"/>
    <mergeCell ref="A66:J66"/>
    <mergeCell ref="K66:Q66"/>
    <mergeCell ref="B67:I67"/>
    <mergeCell ref="M67:O67"/>
    <mergeCell ref="P67:Q67"/>
    <mergeCell ref="B62:I62"/>
    <mergeCell ref="L62:Q62"/>
    <mergeCell ref="A63:Q63"/>
    <mergeCell ref="A64:F64"/>
    <mergeCell ref="G64:H64"/>
    <mergeCell ref="I64:K64"/>
    <mergeCell ref="M64:Q64"/>
    <mergeCell ref="B58:J58"/>
    <mergeCell ref="M58:N58"/>
    <mergeCell ref="A59:P59"/>
    <mergeCell ref="A61:D61"/>
    <mergeCell ref="E61:H61"/>
    <mergeCell ref="I61:J61"/>
    <mergeCell ref="L61:Q61"/>
    <mergeCell ref="B56:J56"/>
    <mergeCell ref="M56:N56"/>
    <mergeCell ref="B57:J57"/>
    <mergeCell ref="M57:N57"/>
    <mergeCell ref="B54:J54"/>
    <mergeCell ref="M54:N54"/>
    <mergeCell ref="B55:J55"/>
    <mergeCell ref="M55:N55"/>
    <mergeCell ref="B52:J52"/>
    <mergeCell ref="M52:N52"/>
    <mergeCell ref="B53:J53"/>
    <mergeCell ref="M53:N53"/>
    <mergeCell ref="B50:J50"/>
    <mergeCell ref="M50:N50"/>
    <mergeCell ref="B51:J51"/>
    <mergeCell ref="M51:N51"/>
    <mergeCell ref="B48:J48"/>
    <mergeCell ref="M48:N48"/>
    <mergeCell ref="B49:J49"/>
    <mergeCell ref="M49:N49"/>
    <mergeCell ref="B46:J46"/>
    <mergeCell ref="M46:N46"/>
    <mergeCell ref="B47:J47"/>
    <mergeCell ref="M47:N47"/>
    <mergeCell ref="B44:J44"/>
    <mergeCell ref="M44:N44"/>
    <mergeCell ref="B45:J45"/>
    <mergeCell ref="M45:N45"/>
    <mergeCell ref="B42:J42"/>
    <mergeCell ref="M42:N42"/>
    <mergeCell ref="B43:J43"/>
    <mergeCell ref="M43:N43"/>
    <mergeCell ref="B40:J40"/>
    <mergeCell ref="M40:N40"/>
    <mergeCell ref="B41:J41"/>
    <mergeCell ref="M41:N41"/>
    <mergeCell ref="B38:J38"/>
    <mergeCell ref="M38:N38"/>
    <mergeCell ref="B39:J39"/>
    <mergeCell ref="M39:N39"/>
    <mergeCell ref="B36:J36"/>
    <mergeCell ref="M36:N36"/>
    <mergeCell ref="B37:J37"/>
    <mergeCell ref="M37:N37"/>
    <mergeCell ref="B34:J34"/>
    <mergeCell ref="M34:N34"/>
    <mergeCell ref="B35:J35"/>
    <mergeCell ref="M35:N35"/>
    <mergeCell ref="B32:J32"/>
    <mergeCell ref="M32:N32"/>
    <mergeCell ref="B33:J33"/>
    <mergeCell ref="M33:N33"/>
    <mergeCell ref="B30:J30"/>
    <mergeCell ref="M30:N30"/>
    <mergeCell ref="B31:J31"/>
    <mergeCell ref="M31:N31"/>
    <mergeCell ref="B28:J28"/>
    <mergeCell ref="M28:N28"/>
    <mergeCell ref="B29:J29"/>
    <mergeCell ref="M29:N29"/>
    <mergeCell ref="B26:J26"/>
    <mergeCell ref="M26:N26"/>
    <mergeCell ref="B27:J27"/>
    <mergeCell ref="M27:N27"/>
    <mergeCell ref="B24:J24"/>
    <mergeCell ref="M24:N24"/>
    <mergeCell ref="B25:J25"/>
    <mergeCell ref="M25:N25"/>
    <mergeCell ref="B22:J22"/>
    <mergeCell ref="M22:N22"/>
    <mergeCell ref="B23:J23"/>
    <mergeCell ref="M23:N23"/>
    <mergeCell ref="B20:J20"/>
    <mergeCell ref="M20:N20"/>
    <mergeCell ref="B21:J21"/>
    <mergeCell ref="M21:N21"/>
    <mergeCell ref="B18:J18"/>
    <mergeCell ref="M18:N18"/>
    <mergeCell ref="B19:J19"/>
    <mergeCell ref="M19:N19"/>
    <mergeCell ref="B16:J16"/>
    <mergeCell ref="M16:N16"/>
    <mergeCell ref="B17:J17"/>
    <mergeCell ref="M17:N17"/>
    <mergeCell ref="B14:J14"/>
    <mergeCell ref="M14:N14"/>
    <mergeCell ref="B15:J15"/>
    <mergeCell ref="M15:N15"/>
    <mergeCell ref="B12:J12"/>
    <mergeCell ref="M12:N12"/>
    <mergeCell ref="B13:J13"/>
    <mergeCell ref="M13:N13"/>
    <mergeCell ref="B10:J10"/>
    <mergeCell ref="M10:N10"/>
    <mergeCell ref="B11:J11"/>
    <mergeCell ref="M11:N11"/>
    <mergeCell ref="B8:J8"/>
    <mergeCell ref="M8:N8"/>
    <mergeCell ref="B9:J9"/>
    <mergeCell ref="M9:N9"/>
    <mergeCell ref="B6:J6"/>
    <mergeCell ref="M6:N6"/>
    <mergeCell ref="B7:J7"/>
    <mergeCell ref="M7:N7"/>
    <mergeCell ref="B4:J4"/>
    <mergeCell ref="M4:N4"/>
    <mergeCell ref="B5:J5"/>
    <mergeCell ref="M5:N5"/>
    <mergeCell ref="A1:J1"/>
    <mergeCell ref="L1:M1"/>
    <mergeCell ref="B2:J2"/>
    <mergeCell ref="M2:N2"/>
    <mergeCell ref="B3:J3"/>
    <mergeCell ref="M3:N3"/>
  </mergeCells>
  <hyperlinks>
    <hyperlink ref="K65" r:id="rId1" display="mailto:denio.maciel@2ssconstrucoes.com.br" xr:uid="{EAFAAAE0-C2C5-4E6D-86A7-893D436E81A9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6829-8563-4D6D-81E4-2B2E5F378957}">
  <dimension ref="A1:P36"/>
  <sheetViews>
    <sheetView zoomScaleNormal="100" workbookViewId="0">
      <selection activeCell="D36" sqref="D36:H36"/>
    </sheetView>
  </sheetViews>
  <sheetFormatPr defaultColWidth="9.140625" defaultRowHeight="12.75"/>
  <cols>
    <col min="1" max="3" width="2.28515625" style="121" customWidth="1"/>
    <col min="4" max="8" width="30.85546875" style="121" customWidth="1"/>
    <col min="9" max="14" width="2.28515625" style="121" customWidth="1"/>
    <col min="15" max="15" width="7.85546875" style="121" customWidth="1"/>
    <col min="16" max="16384" width="9.140625" style="121"/>
  </cols>
  <sheetData>
    <row r="1" spans="1:15" ht="9" customHeight="1">
      <c r="A1" s="431"/>
      <c r="B1" s="428"/>
      <c r="C1" s="429"/>
      <c r="D1" s="435"/>
      <c r="E1" s="436"/>
      <c r="F1" s="436"/>
      <c r="G1" s="436"/>
      <c r="H1" s="437"/>
      <c r="I1" s="432"/>
      <c r="J1" s="433"/>
      <c r="K1" s="434"/>
      <c r="L1" s="438"/>
      <c r="M1" s="439"/>
      <c r="N1" s="440"/>
    </row>
    <row r="2" spans="1:15">
      <c r="A2" s="456" t="s">
        <v>685</v>
      </c>
      <c r="B2" s="457"/>
      <c r="C2" s="458"/>
      <c r="D2" s="456" t="s">
        <v>16</v>
      </c>
      <c r="E2" s="457"/>
      <c r="F2" s="457"/>
      <c r="G2" s="457"/>
      <c r="H2" s="458"/>
      <c r="I2" s="456" t="s">
        <v>686</v>
      </c>
      <c r="J2" s="457"/>
      <c r="K2" s="458"/>
      <c r="L2" s="456" t="s">
        <v>19</v>
      </c>
      <c r="M2" s="457"/>
      <c r="N2" s="458"/>
      <c r="O2" s="122" t="s">
        <v>684</v>
      </c>
    </row>
    <row r="3" spans="1:15">
      <c r="A3" s="459">
        <v>1</v>
      </c>
      <c r="B3" s="460"/>
      <c r="C3" s="461"/>
      <c r="D3" s="456" t="s">
        <v>687</v>
      </c>
      <c r="E3" s="457"/>
      <c r="F3" s="457"/>
      <c r="G3" s="457"/>
      <c r="H3" s="458"/>
      <c r="I3" s="462"/>
      <c r="J3" s="463"/>
      <c r="K3" s="464"/>
      <c r="L3" s="462"/>
      <c r="M3" s="463"/>
      <c r="N3" s="464"/>
      <c r="O3" s="123"/>
    </row>
    <row r="4" spans="1:15">
      <c r="A4" s="452">
        <v>1.01</v>
      </c>
      <c r="B4" s="453"/>
      <c r="C4" s="454"/>
      <c r="D4" s="441" t="s">
        <v>688</v>
      </c>
      <c r="E4" s="442"/>
      <c r="F4" s="442"/>
      <c r="G4" s="442"/>
      <c r="H4" s="443"/>
      <c r="I4" s="444" t="s">
        <v>397</v>
      </c>
      <c r="J4" s="445"/>
      <c r="K4" s="446"/>
      <c r="L4" s="447">
        <v>6</v>
      </c>
      <c r="M4" s="448"/>
      <c r="N4" s="449"/>
      <c r="O4" s="123"/>
    </row>
    <row r="5" spans="1:15">
      <c r="A5" s="452">
        <v>1.02</v>
      </c>
      <c r="B5" s="453"/>
      <c r="C5" s="454"/>
      <c r="D5" s="455" t="s">
        <v>714</v>
      </c>
      <c r="E5" s="450"/>
      <c r="F5" s="450"/>
      <c r="G5" s="450"/>
      <c r="H5" s="451"/>
      <c r="I5" s="444" t="s">
        <v>397</v>
      </c>
      <c r="J5" s="445"/>
      <c r="K5" s="446"/>
      <c r="L5" s="447">
        <v>12</v>
      </c>
      <c r="M5" s="448"/>
      <c r="N5" s="449"/>
      <c r="O5" s="123"/>
    </row>
    <row r="6" spans="1:15">
      <c r="A6" s="452">
        <v>1.03</v>
      </c>
      <c r="B6" s="453"/>
      <c r="C6" s="454"/>
      <c r="D6" s="441" t="s">
        <v>689</v>
      </c>
      <c r="E6" s="442"/>
      <c r="F6" s="442"/>
      <c r="G6" s="442"/>
      <c r="H6" s="443"/>
      <c r="I6" s="444" t="s">
        <v>690</v>
      </c>
      <c r="J6" s="445"/>
      <c r="K6" s="446"/>
      <c r="L6" s="447">
        <v>7</v>
      </c>
      <c r="M6" s="448"/>
      <c r="N6" s="449"/>
      <c r="O6" s="123"/>
    </row>
    <row r="7" spans="1:15">
      <c r="A7" s="452">
        <v>1.04</v>
      </c>
      <c r="B7" s="453"/>
      <c r="C7" s="454"/>
      <c r="D7" s="441" t="s">
        <v>691</v>
      </c>
      <c r="E7" s="442"/>
      <c r="F7" s="442"/>
      <c r="G7" s="442"/>
      <c r="H7" s="443"/>
      <c r="I7" s="444" t="s">
        <v>690</v>
      </c>
      <c r="J7" s="445"/>
      <c r="K7" s="446"/>
      <c r="L7" s="447">
        <v>1</v>
      </c>
      <c r="M7" s="448"/>
      <c r="N7" s="449"/>
      <c r="O7" s="123"/>
    </row>
    <row r="8" spans="1:15">
      <c r="A8" s="452">
        <v>1.05</v>
      </c>
      <c r="B8" s="453"/>
      <c r="C8" s="454"/>
      <c r="D8" s="441" t="s">
        <v>692</v>
      </c>
      <c r="E8" s="442"/>
      <c r="F8" s="442"/>
      <c r="G8" s="442"/>
      <c r="H8" s="443"/>
      <c r="I8" s="444" t="s">
        <v>690</v>
      </c>
      <c r="J8" s="445"/>
      <c r="K8" s="446"/>
      <c r="L8" s="447">
        <v>1</v>
      </c>
      <c r="M8" s="448"/>
      <c r="N8" s="449"/>
      <c r="O8" s="123"/>
    </row>
    <row r="9" spans="1:15">
      <c r="A9" s="459">
        <v>2</v>
      </c>
      <c r="B9" s="460"/>
      <c r="C9" s="461"/>
      <c r="D9" s="456" t="s">
        <v>693</v>
      </c>
      <c r="E9" s="457"/>
      <c r="F9" s="457"/>
      <c r="G9" s="457"/>
      <c r="H9" s="458"/>
      <c r="I9" s="462"/>
      <c r="J9" s="463"/>
      <c r="K9" s="464"/>
      <c r="L9" s="462"/>
      <c r="M9" s="463"/>
      <c r="N9" s="464"/>
      <c r="O9" s="123"/>
    </row>
    <row r="10" spans="1:15">
      <c r="A10" s="452">
        <v>2.02</v>
      </c>
      <c r="B10" s="453"/>
      <c r="C10" s="454"/>
      <c r="D10" s="441" t="s">
        <v>694</v>
      </c>
      <c r="E10" s="442"/>
      <c r="F10" s="442"/>
      <c r="G10" s="442"/>
      <c r="H10" s="443"/>
      <c r="I10" s="444" t="s">
        <v>690</v>
      </c>
      <c r="J10" s="445"/>
      <c r="K10" s="446"/>
      <c r="L10" s="447">
        <v>1</v>
      </c>
      <c r="M10" s="448"/>
      <c r="N10" s="449"/>
      <c r="O10" s="123"/>
    </row>
    <row r="11" spans="1:15">
      <c r="A11" s="452">
        <v>2.0299999999999998</v>
      </c>
      <c r="B11" s="453"/>
      <c r="C11" s="454"/>
      <c r="D11" s="441" t="s">
        <v>695</v>
      </c>
      <c r="E11" s="442"/>
      <c r="F11" s="442"/>
      <c r="G11" s="442"/>
      <c r="H11" s="443"/>
      <c r="I11" s="444" t="s">
        <v>690</v>
      </c>
      <c r="J11" s="445"/>
      <c r="K11" s="446"/>
      <c r="L11" s="447">
        <v>1</v>
      </c>
      <c r="M11" s="448"/>
      <c r="N11" s="449"/>
      <c r="O11" s="123"/>
    </row>
    <row r="12" spans="1:15">
      <c r="A12" s="459">
        <v>3</v>
      </c>
      <c r="B12" s="460"/>
      <c r="C12" s="461"/>
      <c r="D12" s="456" t="s">
        <v>696</v>
      </c>
      <c r="E12" s="457"/>
      <c r="F12" s="457"/>
      <c r="G12" s="457"/>
      <c r="H12" s="458"/>
      <c r="I12" s="462"/>
      <c r="J12" s="463"/>
      <c r="K12" s="464"/>
      <c r="L12" s="462"/>
      <c r="M12" s="463"/>
      <c r="N12" s="464"/>
      <c r="O12" s="123"/>
    </row>
    <row r="13" spans="1:15">
      <c r="A13" s="452">
        <v>3.01</v>
      </c>
      <c r="B13" s="453"/>
      <c r="C13" s="454"/>
      <c r="D13" s="441" t="s">
        <v>697</v>
      </c>
      <c r="E13" s="442"/>
      <c r="F13" s="442"/>
      <c r="G13" s="442"/>
      <c r="H13" s="443"/>
      <c r="I13" s="444" t="s">
        <v>698</v>
      </c>
      <c r="J13" s="445"/>
      <c r="K13" s="446"/>
      <c r="L13" s="447">
        <v>528</v>
      </c>
      <c r="M13" s="448"/>
      <c r="N13" s="449"/>
      <c r="O13" s="123"/>
    </row>
    <row r="14" spans="1:15">
      <c r="A14" s="452">
        <v>3.02</v>
      </c>
      <c r="B14" s="453"/>
      <c r="C14" s="454"/>
      <c r="D14" s="441" t="s">
        <v>699</v>
      </c>
      <c r="E14" s="442"/>
      <c r="F14" s="442"/>
      <c r="G14" s="442"/>
      <c r="H14" s="443"/>
      <c r="I14" s="444" t="s">
        <v>698</v>
      </c>
      <c r="J14" s="445"/>
      <c r="K14" s="446"/>
      <c r="L14" s="447">
        <v>528</v>
      </c>
      <c r="M14" s="448"/>
      <c r="N14" s="449"/>
      <c r="O14" s="123"/>
    </row>
    <row r="15" spans="1:15">
      <c r="A15" s="452">
        <v>3.03</v>
      </c>
      <c r="B15" s="453"/>
      <c r="C15" s="454"/>
      <c r="D15" s="441" t="s">
        <v>700</v>
      </c>
      <c r="E15" s="442"/>
      <c r="F15" s="442"/>
      <c r="G15" s="442"/>
      <c r="H15" s="443"/>
      <c r="I15" s="444" t="s">
        <v>698</v>
      </c>
      <c r="J15" s="445"/>
      <c r="K15" s="446"/>
      <c r="L15" s="447">
        <v>176</v>
      </c>
      <c r="M15" s="448"/>
      <c r="N15" s="449"/>
      <c r="O15" s="123"/>
    </row>
    <row r="16" spans="1:15">
      <c r="A16" s="452">
        <v>3.04</v>
      </c>
      <c r="B16" s="453"/>
      <c r="C16" s="454"/>
      <c r="D16" s="441" t="s">
        <v>701</v>
      </c>
      <c r="E16" s="442"/>
      <c r="F16" s="442"/>
      <c r="G16" s="442"/>
      <c r="H16" s="443"/>
      <c r="I16" s="444" t="s">
        <v>698</v>
      </c>
      <c r="J16" s="445"/>
      <c r="K16" s="446"/>
      <c r="L16" s="447">
        <v>176</v>
      </c>
      <c r="M16" s="448"/>
      <c r="N16" s="449"/>
      <c r="O16" s="123"/>
    </row>
    <row r="17" spans="1:16">
      <c r="A17" s="452">
        <v>3.05</v>
      </c>
      <c r="B17" s="453"/>
      <c r="C17" s="454"/>
      <c r="D17" s="441" t="s">
        <v>702</v>
      </c>
      <c r="E17" s="442"/>
      <c r="F17" s="442"/>
      <c r="G17" s="442"/>
      <c r="H17" s="443"/>
      <c r="I17" s="444" t="s">
        <v>698</v>
      </c>
      <c r="J17" s="445"/>
      <c r="K17" s="446"/>
      <c r="L17" s="447">
        <v>80</v>
      </c>
      <c r="M17" s="448"/>
      <c r="N17" s="449"/>
      <c r="O17" s="123"/>
    </row>
    <row r="18" spans="1:16">
      <c r="A18" s="459">
        <v>4</v>
      </c>
      <c r="B18" s="460"/>
      <c r="C18" s="461"/>
      <c r="D18" s="456" t="s">
        <v>703</v>
      </c>
      <c r="E18" s="457"/>
      <c r="F18" s="457"/>
      <c r="G18" s="457"/>
      <c r="H18" s="458"/>
      <c r="I18" s="462"/>
      <c r="J18" s="463"/>
      <c r="K18" s="464"/>
      <c r="L18" s="462"/>
      <c r="M18" s="463"/>
      <c r="N18" s="464"/>
      <c r="O18" s="123"/>
    </row>
    <row r="19" spans="1:16">
      <c r="A19" s="452">
        <v>4.01</v>
      </c>
      <c r="B19" s="453"/>
      <c r="C19" s="454"/>
      <c r="D19" s="441" t="s">
        <v>704</v>
      </c>
      <c r="E19" s="442"/>
      <c r="F19" s="442"/>
      <c r="G19" s="442"/>
      <c r="H19" s="443"/>
      <c r="I19" s="444" t="s">
        <v>397</v>
      </c>
      <c r="J19" s="445"/>
      <c r="K19" s="446"/>
      <c r="L19" s="447">
        <v>20</v>
      </c>
      <c r="M19" s="448"/>
      <c r="N19" s="449"/>
      <c r="O19" s="123"/>
    </row>
    <row r="20" spans="1:16">
      <c r="A20" s="452">
        <v>4.0199999999999996</v>
      </c>
      <c r="B20" s="453"/>
      <c r="C20" s="454"/>
      <c r="D20" s="441" t="s">
        <v>705</v>
      </c>
      <c r="E20" s="442"/>
      <c r="F20" s="442"/>
      <c r="G20" s="442"/>
      <c r="H20" s="443"/>
      <c r="I20" s="444" t="s">
        <v>653</v>
      </c>
      <c r="J20" s="445"/>
      <c r="K20" s="446"/>
      <c r="L20" s="447">
        <v>1</v>
      </c>
      <c r="M20" s="448"/>
      <c r="N20" s="449"/>
      <c r="O20" s="123"/>
    </row>
    <row r="21" spans="1:16">
      <c r="A21" s="452">
        <v>4.03</v>
      </c>
      <c r="B21" s="453"/>
      <c r="C21" s="454"/>
      <c r="D21" s="441" t="s">
        <v>706</v>
      </c>
      <c r="E21" s="442"/>
      <c r="F21" s="442"/>
      <c r="G21" s="442"/>
      <c r="H21" s="443"/>
      <c r="I21" s="444" t="s">
        <v>653</v>
      </c>
      <c r="J21" s="445"/>
      <c r="K21" s="446"/>
      <c r="L21" s="447">
        <v>4</v>
      </c>
      <c r="M21" s="448"/>
      <c r="N21" s="449"/>
      <c r="O21" s="124">
        <v>5</v>
      </c>
      <c r="P21" s="121">
        <f>3*4</f>
        <v>12</v>
      </c>
    </row>
    <row r="22" spans="1:16">
      <c r="A22" s="452">
        <v>4.04</v>
      </c>
      <c r="B22" s="453"/>
      <c r="C22" s="454"/>
      <c r="D22" s="441" t="s">
        <v>707</v>
      </c>
      <c r="E22" s="442"/>
      <c r="F22" s="442"/>
      <c r="G22" s="442"/>
      <c r="H22" s="443"/>
      <c r="I22" s="444" t="s">
        <v>653</v>
      </c>
      <c r="J22" s="445"/>
      <c r="K22" s="446"/>
      <c r="L22" s="447">
        <v>5</v>
      </c>
      <c r="M22" s="448"/>
      <c r="N22" s="449"/>
      <c r="O22" s="123"/>
      <c r="P22" s="121">
        <f>2.4*5</f>
        <v>12</v>
      </c>
    </row>
    <row r="23" spans="1:16">
      <c r="A23" s="452">
        <v>4.05</v>
      </c>
      <c r="B23" s="453"/>
      <c r="C23" s="454"/>
      <c r="D23" s="441" t="s">
        <v>708</v>
      </c>
      <c r="E23" s="442"/>
      <c r="F23" s="442"/>
      <c r="G23" s="442"/>
      <c r="H23" s="443"/>
      <c r="I23" s="444" t="s">
        <v>653</v>
      </c>
      <c r="J23" s="445"/>
      <c r="K23" s="446"/>
      <c r="L23" s="447">
        <v>5</v>
      </c>
      <c r="M23" s="448"/>
      <c r="N23" s="449"/>
      <c r="O23" s="123"/>
    </row>
    <row r="24" spans="1:16">
      <c r="A24" s="452">
        <v>4.0599999999999996</v>
      </c>
      <c r="B24" s="453"/>
      <c r="C24" s="454"/>
      <c r="D24" s="441" t="s">
        <v>709</v>
      </c>
      <c r="E24" s="442"/>
      <c r="F24" s="442"/>
      <c r="G24" s="442"/>
      <c r="H24" s="443"/>
      <c r="I24" s="444" t="s">
        <v>653</v>
      </c>
      <c r="J24" s="445"/>
      <c r="K24" s="446"/>
      <c r="L24" s="447">
        <v>1</v>
      </c>
      <c r="M24" s="448"/>
      <c r="N24" s="449"/>
      <c r="O24" s="123"/>
    </row>
    <row r="25" spans="1:16">
      <c r="A25" s="459">
        <v>5</v>
      </c>
      <c r="B25" s="460"/>
      <c r="C25" s="461"/>
      <c r="D25" s="456" t="s">
        <v>710</v>
      </c>
      <c r="E25" s="457"/>
      <c r="F25" s="457"/>
      <c r="G25" s="457"/>
      <c r="H25" s="458"/>
      <c r="I25" s="462"/>
      <c r="J25" s="463"/>
      <c r="K25" s="464"/>
      <c r="L25" s="462"/>
      <c r="M25" s="463"/>
      <c r="N25" s="464"/>
      <c r="O25" s="123"/>
    </row>
    <row r="26" spans="1:16">
      <c r="A26" s="452">
        <v>5.01</v>
      </c>
      <c r="B26" s="453"/>
      <c r="C26" s="454"/>
      <c r="D26" s="441" t="s">
        <v>718</v>
      </c>
      <c r="E26" s="450"/>
      <c r="F26" s="450"/>
      <c r="G26" s="450"/>
      <c r="H26" s="451"/>
      <c r="I26" s="444" t="s">
        <v>397</v>
      </c>
      <c r="J26" s="445"/>
      <c r="K26" s="446"/>
      <c r="L26" s="447">
        <v>36</v>
      </c>
      <c r="M26" s="448"/>
      <c r="N26" s="449"/>
      <c r="O26" s="123"/>
    </row>
    <row r="27" spans="1:16">
      <c r="A27" s="452">
        <v>5.0199999999999996</v>
      </c>
      <c r="B27" s="453"/>
      <c r="C27" s="454"/>
      <c r="D27" s="441" t="s">
        <v>711</v>
      </c>
      <c r="E27" s="442"/>
      <c r="F27" s="442"/>
      <c r="G27" s="442"/>
      <c r="H27" s="443"/>
      <c r="I27" s="444" t="s">
        <v>397</v>
      </c>
      <c r="J27" s="445"/>
      <c r="K27" s="446"/>
      <c r="L27" s="447">
        <v>12</v>
      </c>
      <c r="M27" s="448"/>
      <c r="N27" s="449"/>
      <c r="O27" s="123"/>
    </row>
    <row r="28" spans="1:16">
      <c r="A28" s="452">
        <v>5.03</v>
      </c>
      <c r="B28" s="453"/>
      <c r="C28" s="454"/>
      <c r="D28" s="441" t="s">
        <v>719</v>
      </c>
      <c r="E28" s="450"/>
      <c r="F28" s="450"/>
      <c r="G28" s="450"/>
      <c r="H28" s="451"/>
      <c r="I28" s="444" t="s">
        <v>397</v>
      </c>
      <c r="J28" s="445"/>
      <c r="K28" s="446"/>
      <c r="L28" s="447">
        <v>12</v>
      </c>
      <c r="M28" s="448"/>
      <c r="N28" s="449"/>
      <c r="O28" s="123"/>
    </row>
    <row r="29" spans="1:16">
      <c r="A29" s="452">
        <v>5.04</v>
      </c>
      <c r="B29" s="453"/>
      <c r="C29" s="454"/>
      <c r="D29" s="441" t="s">
        <v>712</v>
      </c>
      <c r="E29" s="442"/>
      <c r="F29" s="442"/>
      <c r="G29" s="442"/>
      <c r="H29" s="443"/>
      <c r="I29" s="444" t="s">
        <v>397</v>
      </c>
      <c r="J29" s="445"/>
      <c r="K29" s="446"/>
      <c r="L29" s="447">
        <v>30</v>
      </c>
      <c r="M29" s="448"/>
      <c r="N29" s="449"/>
      <c r="O29" s="123"/>
    </row>
    <row r="30" spans="1:16">
      <c r="A30" s="452">
        <v>5.05</v>
      </c>
      <c r="B30" s="453"/>
      <c r="C30" s="454"/>
      <c r="D30" s="441" t="s">
        <v>713</v>
      </c>
      <c r="E30" s="442"/>
      <c r="F30" s="442"/>
      <c r="G30" s="442"/>
      <c r="H30" s="443"/>
      <c r="I30" s="444" t="s">
        <v>397</v>
      </c>
      <c r="J30" s="445"/>
      <c r="K30" s="446"/>
      <c r="L30" s="447">
        <v>10</v>
      </c>
      <c r="M30" s="448"/>
      <c r="N30" s="449"/>
      <c r="O30" s="123"/>
    </row>
    <row r="32" spans="1:16">
      <c r="D32" s="441" t="s">
        <v>718</v>
      </c>
      <c r="E32" s="450"/>
      <c r="F32" s="450"/>
      <c r="G32" s="450"/>
      <c r="H32" s="451"/>
      <c r="I32" s="444" t="s">
        <v>397</v>
      </c>
      <c r="J32" s="445"/>
      <c r="K32" s="446"/>
      <c r="L32" s="447">
        <v>36</v>
      </c>
      <c r="M32" s="448"/>
      <c r="N32" s="449"/>
    </row>
    <row r="33" spans="4:14">
      <c r="D33" s="441" t="s">
        <v>711</v>
      </c>
      <c r="E33" s="442"/>
      <c r="F33" s="442"/>
      <c r="G33" s="442"/>
      <c r="H33" s="443"/>
      <c r="I33" s="444" t="s">
        <v>397</v>
      </c>
      <c r="J33" s="445"/>
      <c r="K33" s="446"/>
      <c r="L33" s="447">
        <v>12</v>
      </c>
      <c r="M33" s="448"/>
      <c r="N33" s="449"/>
    </row>
    <row r="34" spans="4:14">
      <c r="D34" s="441" t="s">
        <v>719</v>
      </c>
      <c r="E34" s="450"/>
      <c r="F34" s="450"/>
      <c r="G34" s="450"/>
      <c r="H34" s="451"/>
      <c r="I34" s="444" t="s">
        <v>397</v>
      </c>
      <c r="J34" s="445"/>
      <c r="K34" s="446"/>
      <c r="L34" s="447">
        <v>12</v>
      </c>
      <c r="M34" s="448"/>
      <c r="N34" s="449"/>
    </row>
    <row r="35" spans="4:14">
      <c r="D35" s="441" t="s">
        <v>712</v>
      </c>
      <c r="E35" s="442"/>
      <c r="F35" s="442"/>
      <c r="G35" s="442"/>
      <c r="H35" s="443"/>
      <c r="I35" s="444" t="s">
        <v>397</v>
      </c>
      <c r="J35" s="445"/>
      <c r="K35" s="446"/>
      <c r="L35" s="447">
        <v>30</v>
      </c>
      <c r="M35" s="448"/>
      <c r="N35" s="449"/>
    </row>
    <row r="36" spans="4:14">
      <c r="D36" s="441" t="s">
        <v>713</v>
      </c>
      <c r="E36" s="442"/>
      <c r="F36" s="442"/>
      <c r="G36" s="442"/>
      <c r="H36" s="443"/>
      <c r="I36" s="444" t="s">
        <v>397</v>
      </c>
      <c r="J36" s="445"/>
      <c r="K36" s="446"/>
      <c r="L36" s="447">
        <v>10</v>
      </c>
      <c r="M36" s="448"/>
      <c r="N36" s="449"/>
    </row>
  </sheetData>
  <mergeCells count="135">
    <mergeCell ref="I36:K36"/>
    <mergeCell ref="L36:N36"/>
    <mergeCell ref="A30:C30"/>
    <mergeCell ref="D30:H30"/>
    <mergeCell ref="I30:K30"/>
    <mergeCell ref="L30:N30"/>
    <mergeCell ref="D32:H32"/>
    <mergeCell ref="I32:K32"/>
    <mergeCell ref="L32:N32"/>
    <mergeCell ref="D36:H36"/>
    <mergeCell ref="A28:C28"/>
    <mergeCell ref="D28:H28"/>
    <mergeCell ref="I28:K28"/>
    <mergeCell ref="L28:N28"/>
    <mergeCell ref="A29:C29"/>
    <mergeCell ref="D29:H29"/>
    <mergeCell ref="I29:K29"/>
    <mergeCell ref="L29:N29"/>
    <mergeCell ref="A26:C26"/>
    <mergeCell ref="D26:H26"/>
    <mergeCell ref="I26:K26"/>
    <mergeCell ref="L26:N26"/>
    <mergeCell ref="A27:C27"/>
    <mergeCell ref="D27:H27"/>
    <mergeCell ref="I27:K27"/>
    <mergeCell ref="L27:N27"/>
    <mergeCell ref="A24:C24"/>
    <mergeCell ref="D24:H24"/>
    <mergeCell ref="I24:K24"/>
    <mergeCell ref="L24:N24"/>
    <mergeCell ref="A25:C25"/>
    <mergeCell ref="D25:H25"/>
    <mergeCell ref="I25:K25"/>
    <mergeCell ref="L25:N25"/>
    <mergeCell ref="A22:C22"/>
    <mergeCell ref="D22:H22"/>
    <mergeCell ref="I22:K22"/>
    <mergeCell ref="L22:N22"/>
    <mergeCell ref="A23:C23"/>
    <mergeCell ref="D23:H23"/>
    <mergeCell ref="I23:K23"/>
    <mergeCell ref="L23:N23"/>
    <mergeCell ref="A20:C20"/>
    <mergeCell ref="D20:H20"/>
    <mergeCell ref="I20:K20"/>
    <mergeCell ref="L20:N20"/>
    <mergeCell ref="A21:C21"/>
    <mergeCell ref="D21:H21"/>
    <mergeCell ref="I21:K21"/>
    <mergeCell ref="L21:N21"/>
    <mergeCell ref="A18:C18"/>
    <mergeCell ref="D18:H18"/>
    <mergeCell ref="I18:K18"/>
    <mergeCell ref="L18:N18"/>
    <mergeCell ref="A19:C19"/>
    <mergeCell ref="D19:H19"/>
    <mergeCell ref="I19:K19"/>
    <mergeCell ref="L19:N19"/>
    <mergeCell ref="A16:C16"/>
    <mergeCell ref="D16:H16"/>
    <mergeCell ref="I16:K16"/>
    <mergeCell ref="L16:N16"/>
    <mergeCell ref="A17:C17"/>
    <mergeCell ref="D17:H17"/>
    <mergeCell ref="I17:K17"/>
    <mergeCell ref="L17:N17"/>
    <mergeCell ref="A14:C14"/>
    <mergeCell ref="D14:H14"/>
    <mergeCell ref="I14:K14"/>
    <mergeCell ref="L14:N14"/>
    <mergeCell ref="A15:C15"/>
    <mergeCell ref="D15:H15"/>
    <mergeCell ref="I15:K15"/>
    <mergeCell ref="L15:N15"/>
    <mergeCell ref="A12:C12"/>
    <mergeCell ref="D12:H12"/>
    <mergeCell ref="I12:K12"/>
    <mergeCell ref="L12:N12"/>
    <mergeCell ref="A13:C13"/>
    <mergeCell ref="D13:H13"/>
    <mergeCell ref="I13:K13"/>
    <mergeCell ref="L13:N13"/>
    <mergeCell ref="A10:C10"/>
    <mergeCell ref="D10:H10"/>
    <mergeCell ref="I10:K10"/>
    <mergeCell ref="L10:N10"/>
    <mergeCell ref="A11:C11"/>
    <mergeCell ref="D11:H11"/>
    <mergeCell ref="I11:K11"/>
    <mergeCell ref="L11:N11"/>
    <mergeCell ref="A9:C9"/>
    <mergeCell ref="D9:H9"/>
    <mergeCell ref="I9:K9"/>
    <mergeCell ref="L9:N9"/>
    <mergeCell ref="A6:C6"/>
    <mergeCell ref="D6:H6"/>
    <mergeCell ref="I6:K6"/>
    <mergeCell ref="L6:N6"/>
    <mergeCell ref="A7:C7"/>
    <mergeCell ref="D7:H7"/>
    <mergeCell ref="I7:K7"/>
    <mergeCell ref="L7:N7"/>
    <mergeCell ref="L2:N2"/>
    <mergeCell ref="A3:C3"/>
    <mergeCell ref="D3:H3"/>
    <mergeCell ref="I3:K3"/>
    <mergeCell ref="L3:N3"/>
    <mergeCell ref="A8:C8"/>
    <mergeCell ref="D8:H8"/>
    <mergeCell ref="I8:K8"/>
    <mergeCell ref="L8:N8"/>
    <mergeCell ref="A1:C1"/>
    <mergeCell ref="I1:K1"/>
    <mergeCell ref="D1:H1"/>
    <mergeCell ref="L1:N1"/>
    <mergeCell ref="D33:H33"/>
    <mergeCell ref="I33:K33"/>
    <mergeCell ref="L33:N33"/>
    <mergeCell ref="D34:H34"/>
    <mergeCell ref="D35:H35"/>
    <mergeCell ref="I35:K35"/>
    <mergeCell ref="L35:N35"/>
    <mergeCell ref="I34:K34"/>
    <mergeCell ref="L34:N34"/>
    <mergeCell ref="A4:C4"/>
    <mergeCell ref="D4:H4"/>
    <mergeCell ref="I4:K4"/>
    <mergeCell ref="L4:N4"/>
    <mergeCell ref="A5:C5"/>
    <mergeCell ref="D5:H5"/>
    <mergeCell ref="I5:K5"/>
    <mergeCell ref="L5:N5"/>
    <mergeCell ref="A2:C2"/>
    <mergeCell ref="D2:H2"/>
    <mergeCell ref="I2:K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9EC9-317B-49F0-911F-65B9A7359599}">
  <sheetPr codeName="Planilha1">
    <tabColor rgb="FFFF0000"/>
    <pageSetUpPr fitToPage="1"/>
  </sheetPr>
  <dimension ref="B1:Q305"/>
  <sheetViews>
    <sheetView showGridLines="0" zoomScale="75" zoomScaleNormal="75" zoomScaleSheetLayoutView="70" zoomScalePageLayoutView="40" workbookViewId="0">
      <pane ySplit="12" topLeftCell="A94" activePane="bottomLeft" state="frozen"/>
      <selection pane="bottomLeft" activeCell="E112" sqref="E112:F112"/>
    </sheetView>
  </sheetViews>
  <sheetFormatPr defaultColWidth="9.140625" defaultRowHeight="15"/>
  <cols>
    <col min="1" max="1" width="1.7109375" style="7" customWidth="1"/>
    <col min="2" max="4" width="4.7109375" style="7" customWidth="1"/>
    <col min="5" max="5" width="7.85546875" style="7" customWidth="1"/>
    <col min="6" max="6" width="141.28515625" style="7" customWidth="1"/>
    <col min="7" max="7" width="10.42578125" style="7" bestFit="1" customWidth="1"/>
    <col min="8" max="8" width="14" style="7" bestFit="1" customWidth="1"/>
    <col min="9" max="9" width="13.28515625" style="7" bestFit="1" customWidth="1"/>
    <col min="10" max="10" width="15.140625" style="7" bestFit="1" customWidth="1"/>
    <col min="11" max="12" width="10.140625" style="7" customWidth="1"/>
    <col min="13" max="13" width="9.5703125" style="7" bestFit="1" customWidth="1"/>
    <col min="14" max="16" width="19.7109375" style="7" customWidth="1"/>
    <col min="17" max="17" width="16.5703125" style="7" bestFit="1" customWidth="1"/>
    <col min="18" max="21" width="9.140625" style="7"/>
    <col min="22" max="22" width="14.5703125" style="7" bestFit="1" customWidth="1"/>
    <col min="23" max="16384" width="9.140625" style="7"/>
  </cols>
  <sheetData>
    <row r="1" spans="2:16" s="1" customFormat="1" ht="17.100000000000001" customHeight="1">
      <c r="B1" s="336" t="s">
        <v>0</v>
      </c>
      <c r="C1" s="337"/>
      <c r="D1" s="337"/>
      <c r="E1" s="337"/>
      <c r="F1" s="337"/>
      <c r="G1" s="338"/>
      <c r="H1" s="337"/>
      <c r="I1" s="337"/>
      <c r="J1" s="337"/>
      <c r="K1" s="337"/>
      <c r="L1" s="337"/>
      <c r="M1" s="337"/>
      <c r="N1" s="337"/>
      <c r="O1" s="337"/>
      <c r="P1" s="337"/>
    </row>
    <row r="2" spans="2:16" s="1" customFormat="1" ht="39.75" customHeight="1">
      <c r="B2" s="337"/>
      <c r="C2" s="337"/>
      <c r="D2" s="337"/>
      <c r="E2" s="337"/>
      <c r="F2" s="337"/>
      <c r="G2" s="338"/>
      <c r="H2" s="337"/>
      <c r="I2" s="337"/>
      <c r="J2" s="337"/>
      <c r="K2" s="337"/>
      <c r="L2" s="337"/>
      <c r="M2" s="337"/>
      <c r="N2" s="337"/>
      <c r="O2" s="337"/>
      <c r="P2" s="337"/>
    </row>
    <row r="3" spans="2:16" s="1" customFormat="1" ht="17.100000000000001" customHeight="1">
      <c r="B3" s="339" t="e" vm="1">
        <v>#VALUE!</v>
      </c>
      <c r="C3" s="339"/>
      <c r="D3" s="339"/>
      <c r="E3" s="339"/>
      <c r="F3" s="340" t="s">
        <v>606</v>
      </c>
      <c r="G3" s="341"/>
      <c r="H3" s="342"/>
      <c r="I3" s="331" t="s">
        <v>1</v>
      </c>
      <c r="J3" s="332"/>
      <c r="K3" s="333" t="s">
        <v>318</v>
      </c>
      <c r="L3" s="334"/>
      <c r="M3" s="335"/>
      <c r="N3" s="349" t="e" vm="2">
        <v>#VALUE!</v>
      </c>
      <c r="O3" s="349"/>
      <c r="P3" s="349"/>
    </row>
    <row r="4" spans="2:16" s="1" customFormat="1" ht="17.100000000000001" customHeight="1">
      <c r="B4" s="339"/>
      <c r="C4" s="339"/>
      <c r="D4" s="339"/>
      <c r="E4" s="339"/>
      <c r="F4" s="343"/>
      <c r="G4" s="344"/>
      <c r="H4" s="345"/>
      <c r="I4" s="331" t="s">
        <v>2</v>
      </c>
      <c r="J4" s="332"/>
      <c r="K4" s="333" t="s">
        <v>3</v>
      </c>
      <c r="L4" s="334"/>
      <c r="M4" s="335"/>
      <c r="N4" s="349"/>
      <c r="O4" s="349"/>
      <c r="P4" s="349"/>
    </row>
    <row r="5" spans="2:16" s="1" customFormat="1" ht="17.100000000000001" customHeight="1">
      <c r="B5" s="339"/>
      <c r="C5" s="339"/>
      <c r="D5" s="339"/>
      <c r="E5" s="339"/>
      <c r="F5" s="343"/>
      <c r="G5" s="344"/>
      <c r="H5" s="345"/>
      <c r="I5" s="331" t="s">
        <v>4</v>
      </c>
      <c r="J5" s="332"/>
      <c r="K5" s="333"/>
      <c r="L5" s="334"/>
      <c r="M5" s="335"/>
      <c r="N5" s="349"/>
      <c r="O5" s="349"/>
      <c r="P5" s="349"/>
    </row>
    <row r="6" spans="2:16" s="1" customFormat="1" ht="17.100000000000001" customHeight="1">
      <c r="B6" s="339"/>
      <c r="C6" s="339"/>
      <c r="D6" s="339"/>
      <c r="E6" s="339"/>
      <c r="F6" s="343"/>
      <c r="G6" s="344"/>
      <c r="H6" s="345"/>
      <c r="I6" s="331" t="s">
        <v>5</v>
      </c>
      <c r="J6" s="332"/>
      <c r="K6" s="333" t="s">
        <v>607</v>
      </c>
      <c r="L6" s="334"/>
      <c r="M6" s="335"/>
      <c r="N6" s="349"/>
      <c r="O6" s="349"/>
      <c r="P6" s="349"/>
    </row>
    <row r="7" spans="2:16" s="1" customFormat="1" ht="17.100000000000001" customHeight="1">
      <c r="B7" s="339"/>
      <c r="C7" s="339"/>
      <c r="D7" s="339"/>
      <c r="E7" s="339"/>
      <c r="F7" s="343"/>
      <c r="G7" s="344"/>
      <c r="H7" s="345"/>
      <c r="I7" s="331" t="s">
        <v>6</v>
      </c>
      <c r="J7" s="332"/>
      <c r="K7" s="350">
        <v>46147</v>
      </c>
      <c r="L7" s="351"/>
      <c r="M7" s="352"/>
      <c r="N7" s="349"/>
      <c r="O7" s="349"/>
      <c r="P7" s="349"/>
    </row>
    <row r="8" spans="2:16" s="1" customFormat="1" ht="17.100000000000001" customHeight="1">
      <c r="B8" s="339"/>
      <c r="C8" s="339"/>
      <c r="D8" s="339"/>
      <c r="E8" s="339"/>
      <c r="F8" s="343"/>
      <c r="G8" s="344"/>
      <c r="H8" s="345"/>
      <c r="I8" s="331" t="s">
        <v>7</v>
      </c>
      <c r="J8" s="332"/>
      <c r="K8" s="333" t="s">
        <v>8</v>
      </c>
      <c r="L8" s="334"/>
      <c r="M8" s="335"/>
      <c r="N8" s="349"/>
      <c r="O8" s="349"/>
      <c r="P8" s="349"/>
    </row>
    <row r="9" spans="2:16" s="1" customFormat="1" ht="17.100000000000001" customHeight="1">
      <c r="B9" s="339"/>
      <c r="C9" s="339"/>
      <c r="D9" s="339"/>
      <c r="E9" s="339"/>
      <c r="F9" s="343"/>
      <c r="G9" s="344"/>
      <c r="H9" s="345"/>
      <c r="I9" s="331" t="s">
        <v>9</v>
      </c>
      <c r="J9" s="332"/>
      <c r="K9" s="333" t="s">
        <v>10</v>
      </c>
      <c r="L9" s="334"/>
      <c r="M9" s="335"/>
      <c r="N9" s="349"/>
      <c r="O9" s="349"/>
      <c r="P9" s="349"/>
    </row>
    <row r="10" spans="2:16" s="1" customFormat="1" ht="17.100000000000001" customHeight="1">
      <c r="B10" s="339"/>
      <c r="C10" s="339"/>
      <c r="D10" s="339"/>
      <c r="E10" s="339"/>
      <c r="F10" s="343"/>
      <c r="G10" s="344"/>
      <c r="H10" s="345"/>
      <c r="I10" s="331" t="s">
        <v>11</v>
      </c>
      <c r="J10" s="332"/>
      <c r="K10" s="333" t="s">
        <v>12</v>
      </c>
      <c r="L10" s="334"/>
      <c r="M10" s="335"/>
      <c r="N10" s="349"/>
      <c r="O10" s="349"/>
      <c r="P10" s="349"/>
    </row>
    <row r="11" spans="2:16" s="1" customFormat="1" ht="17.100000000000001" customHeight="1">
      <c r="B11" s="339"/>
      <c r="C11" s="339"/>
      <c r="D11" s="339"/>
      <c r="E11" s="339"/>
      <c r="F11" s="346"/>
      <c r="G11" s="347"/>
      <c r="H11" s="348"/>
      <c r="I11" s="331" t="s">
        <v>13</v>
      </c>
      <c r="J11" s="332"/>
      <c r="K11" s="333" t="s">
        <v>14</v>
      </c>
      <c r="L11" s="334"/>
      <c r="M11" s="335"/>
      <c r="N11" s="349"/>
      <c r="O11" s="349"/>
      <c r="P11" s="349"/>
    </row>
    <row r="12" spans="2:16" s="4" customFormat="1">
      <c r="B12" s="523" t="s">
        <v>15</v>
      </c>
      <c r="C12" s="524"/>
      <c r="D12" s="524"/>
      <c r="E12" s="523" t="s">
        <v>16</v>
      </c>
      <c r="F12" s="524"/>
      <c r="G12" s="3" t="s">
        <v>17</v>
      </c>
      <c r="H12" s="3" t="s">
        <v>18</v>
      </c>
      <c r="I12" s="2" t="s">
        <v>19</v>
      </c>
      <c r="J12" s="2" t="s">
        <v>20</v>
      </c>
      <c r="K12" s="523" t="s">
        <v>21</v>
      </c>
      <c r="L12" s="524"/>
      <c r="M12" s="18" t="s">
        <v>22</v>
      </c>
      <c r="N12" s="18" t="s">
        <v>23</v>
      </c>
      <c r="O12" s="18" t="s">
        <v>24</v>
      </c>
      <c r="P12" s="18" t="s">
        <v>25</v>
      </c>
    </row>
    <row r="13" spans="2:16" s="4" customFormat="1">
      <c r="B13" s="482"/>
      <c r="C13" s="520"/>
      <c r="D13" s="520"/>
      <c r="E13" s="482" t="s">
        <v>551</v>
      </c>
      <c r="F13" s="520"/>
      <c r="G13" s="19"/>
      <c r="H13" s="19"/>
      <c r="I13" s="53"/>
      <c r="J13" s="53"/>
      <c r="K13" s="521"/>
      <c r="L13" s="520"/>
      <c r="M13" s="54"/>
      <c r="N13" s="20"/>
      <c r="O13" s="55"/>
      <c r="P13" s="80">
        <f>P14+P21+P30</f>
        <v>14184.987858999995</v>
      </c>
    </row>
    <row r="14" spans="2:16">
      <c r="B14" s="525" t="s">
        <v>26</v>
      </c>
      <c r="C14" s="522"/>
      <c r="D14" s="522"/>
      <c r="E14" s="525" t="s">
        <v>27</v>
      </c>
      <c r="F14" s="522"/>
      <c r="G14" s="28"/>
      <c r="H14" s="28"/>
      <c r="I14" s="81"/>
      <c r="J14" s="81" t="s">
        <v>28</v>
      </c>
      <c r="K14" s="526" t="s">
        <v>28</v>
      </c>
      <c r="L14" s="522"/>
      <c r="M14" s="82"/>
      <c r="N14" s="83"/>
      <c r="O14" s="84"/>
      <c r="P14" s="30">
        <f>P15+P17+P19</f>
        <v>2953.590099</v>
      </c>
    </row>
    <row r="15" spans="2:16">
      <c r="B15" s="480" t="s">
        <v>32</v>
      </c>
      <c r="C15" s="487"/>
      <c r="D15" s="487"/>
      <c r="E15" s="480" t="s">
        <v>33</v>
      </c>
      <c r="F15" s="487"/>
      <c r="G15" s="21"/>
      <c r="H15" s="21"/>
      <c r="I15" s="21"/>
      <c r="J15" s="57" t="s">
        <v>28</v>
      </c>
      <c r="K15" s="467" t="str">
        <f>[2]REF_TAB_PREÇOS_SANEPAR!I27</f>
        <v/>
      </c>
      <c r="L15" s="471"/>
      <c r="M15" s="58" t="str">
        <f>IF(G15="", "", IFERROR(IF(G15="Mat", [2]BDI!C$31, IF(G15="MO", [2]BDI!C$17)), ""))</f>
        <v/>
      </c>
      <c r="N15" s="23"/>
      <c r="O15" s="59"/>
      <c r="P15" s="24">
        <f>P16</f>
        <v>244.84693199999998</v>
      </c>
    </row>
    <row r="16" spans="2:16">
      <c r="B16" s="505" t="s">
        <v>34</v>
      </c>
      <c r="C16" s="506"/>
      <c r="D16" s="506"/>
      <c r="E16" s="466" t="s">
        <v>35</v>
      </c>
      <c r="F16" s="481"/>
      <c r="G16" s="25" t="s">
        <v>29</v>
      </c>
      <c r="H16" s="25" t="s">
        <v>40</v>
      </c>
      <c r="I16" s="25">
        <v>1</v>
      </c>
      <c r="J16" s="60" t="s">
        <v>31</v>
      </c>
      <c r="K16" s="465">
        <f>[2]REF_TAB_PREÇOS_SANEPAR!I28</f>
        <v>196.68</v>
      </c>
      <c r="L16" s="468"/>
      <c r="M16" s="61">
        <f>IF(G16="", "", IFERROR(IF(G16="Mat", BDI!C$31, IF(G16="MO", BDI!C$17)), ""))</f>
        <v>0.24490000000000001</v>
      </c>
      <c r="N16" s="26">
        <f t="shared" ref="N16:N24" si="0">IF(K16="","",K16*(1+M16))</f>
        <v>244.84693199999998</v>
      </c>
      <c r="O16" s="62">
        <f t="shared" ref="O16:O24" si="1">K16*I16</f>
        <v>196.68</v>
      </c>
      <c r="P16" s="27">
        <f t="shared" ref="P16:P24" si="2">N16*I16</f>
        <v>244.84693199999998</v>
      </c>
    </row>
    <row r="17" spans="2:16">
      <c r="B17" s="480" t="s">
        <v>37</v>
      </c>
      <c r="C17" s="487"/>
      <c r="D17" s="487"/>
      <c r="E17" s="480" t="s">
        <v>38</v>
      </c>
      <c r="F17" s="487"/>
      <c r="G17" s="21"/>
      <c r="H17" s="21"/>
      <c r="I17" s="21"/>
      <c r="J17" s="57" t="s">
        <v>28</v>
      </c>
      <c r="K17" s="467" t="str">
        <f>[2]REF_TAB_PREÇOS_SANEPAR!I32</f>
        <v/>
      </c>
      <c r="L17" s="471"/>
      <c r="M17" s="58" t="str">
        <f>IF(G17="", "", IFERROR(IF(G17="Mat", BDI!C$31, IF(G17="MO", BDI!C$17)), ""))</f>
        <v/>
      </c>
      <c r="N17" s="23"/>
      <c r="O17" s="59"/>
      <c r="P17" s="24">
        <f>P18</f>
        <v>210.94103099999998</v>
      </c>
    </row>
    <row r="18" spans="2:16">
      <c r="B18" s="505" t="s">
        <v>41</v>
      </c>
      <c r="C18" s="505"/>
      <c r="D18" s="505"/>
      <c r="E18" s="466" t="s">
        <v>42</v>
      </c>
      <c r="F18" s="466"/>
      <c r="G18" s="25" t="s">
        <v>39</v>
      </c>
      <c r="H18" s="25" t="s">
        <v>40</v>
      </c>
      <c r="I18" s="25">
        <v>1</v>
      </c>
      <c r="J18" s="60" t="s">
        <v>36</v>
      </c>
      <c r="K18" s="465">
        <f>[2]REF_TAB_PREÇOS_SANEPAR!I36</f>
        <v>186.69</v>
      </c>
      <c r="L18" s="465"/>
      <c r="M18" s="61">
        <f>IF(G18="", "", IFERROR(IF(G18="Mat", BDI!C$31, IF(G18="MO", BDI!C$17)), ""))</f>
        <v>0.12989999999999999</v>
      </c>
      <c r="N18" s="26">
        <f t="shared" si="0"/>
        <v>210.94103099999998</v>
      </c>
      <c r="O18" s="62">
        <f t="shared" si="1"/>
        <v>186.69</v>
      </c>
      <c r="P18" s="27">
        <f t="shared" si="2"/>
        <v>210.94103099999998</v>
      </c>
    </row>
    <row r="19" spans="2:16">
      <c r="B19" s="480" t="s">
        <v>43</v>
      </c>
      <c r="C19" s="487"/>
      <c r="D19" s="487"/>
      <c r="E19" s="480" t="s">
        <v>44</v>
      </c>
      <c r="F19" s="487"/>
      <c r="G19" s="21"/>
      <c r="H19" s="21"/>
      <c r="I19" s="21"/>
      <c r="J19" s="57" t="s">
        <v>28</v>
      </c>
      <c r="K19" s="467" t="str">
        <f>[2]REF_TAB_PREÇOS_SANEPAR!I37</f>
        <v/>
      </c>
      <c r="L19" s="471"/>
      <c r="M19" s="58" t="str">
        <f>IF(G19="", "", IFERROR(IF(G19="Mat", BDI!C$31, IF(G19="MO", BDI!C$17)), ""))</f>
        <v/>
      </c>
      <c r="N19" s="23"/>
      <c r="O19" s="59"/>
      <c r="P19" s="24">
        <f>P20</f>
        <v>2497.8021359999998</v>
      </c>
    </row>
    <row r="20" spans="2:16">
      <c r="B20" s="505" t="s">
        <v>45</v>
      </c>
      <c r="C20" s="506"/>
      <c r="D20" s="506"/>
      <c r="E20" s="466" t="s">
        <v>46</v>
      </c>
      <c r="F20" s="481"/>
      <c r="G20" s="25" t="s">
        <v>39</v>
      </c>
      <c r="H20" s="25" t="s">
        <v>40</v>
      </c>
      <c r="I20" s="25">
        <v>4</v>
      </c>
      <c r="J20" s="60" t="s">
        <v>30</v>
      </c>
      <c r="K20" s="465">
        <f>[2]REF_TAB_PREÇOS_SANEPAR!I38</f>
        <v>552.66</v>
      </c>
      <c r="L20" s="468"/>
      <c r="M20" s="61">
        <f>IF(G20="", "", IFERROR(IF(G20="Mat", BDI!C$31, IF(G20="MO", BDI!C$17)), ""))</f>
        <v>0.12989999999999999</v>
      </c>
      <c r="N20" s="26">
        <f t="shared" si="0"/>
        <v>624.45053399999995</v>
      </c>
      <c r="O20" s="62">
        <f t="shared" si="1"/>
        <v>2210.64</v>
      </c>
      <c r="P20" s="27">
        <f t="shared" si="2"/>
        <v>2497.8021359999998</v>
      </c>
    </row>
    <row r="21" spans="2:16">
      <c r="B21" s="509" t="s">
        <v>47</v>
      </c>
      <c r="C21" s="522"/>
      <c r="D21" s="522"/>
      <c r="E21" s="509" t="s">
        <v>48</v>
      </c>
      <c r="F21" s="522"/>
      <c r="G21" s="28"/>
      <c r="H21" s="28"/>
      <c r="I21" s="28"/>
      <c r="J21" s="64" t="s">
        <v>28</v>
      </c>
      <c r="K21" s="472" t="str">
        <f>[2]REF_TAB_PREÇOS_SANEPAR!I39</f>
        <v/>
      </c>
      <c r="L21" s="473"/>
      <c r="M21" s="65" t="str">
        <f>IF(G21="", "", IFERROR(IF(G21="Mat", BDI!C$31, IF(G21="MO", BDI!C$17)), ""))</f>
        <v/>
      </c>
      <c r="N21" s="29"/>
      <c r="O21" s="66"/>
      <c r="P21" s="30">
        <f>P22+P26+P28</f>
        <v>9389.9445769999966</v>
      </c>
    </row>
    <row r="22" spans="2:16">
      <c r="B22" s="527" t="s">
        <v>49</v>
      </c>
      <c r="C22" s="487"/>
      <c r="D22" s="487"/>
      <c r="E22" s="527" t="s">
        <v>50</v>
      </c>
      <c r="F22" s="487"/>
      <c r="G22" s="21"/>
      <c r="H22" s="21"/>
      <c r="I22" s="31"/>
      <c r="J22" s="67" t="s">
        <v>28</v>
      </c>
      <c r="K22" s="467" t="str">
        <f>[2]REF_TAB_PREÇOS_SANEPAR!I40</f>
        <v/>
      </c>
      <c r="L22" s="471"/>
      <c r="M22" s="58" t="str">
        <f>IF(G22="", "", IFERROR(IF(G22="Mat", BDI!C$31, IF(G22="MO", BDI!C$17)), ""))</f>
        <v/>
      </c>
      <c r="N22" s="23"/>
      <c r="O22" s="59"/>
      <c r="P22" s="24">
        <f>P23+P24+P25</f>
        <v>150.45861400000001</v>
      </c>
    </row>
    <row r="23" spans="2:16">
      <c r="B23" s="505" t="s">
        <v>51</v>
      </c>
      <c r="C23" s="506"/>
      <c r="D23" s="506"/>
      <c r="E23" s="466" t="s">
        <v>52</v>
      </c>
      <c r="F23" s="481"/>
      <c r="G23" s="25" t="s">
        <v>29</v>
      </c>
      <c r="H23" s="25" t="s">
        <v>40</v>
      </c>
      <c r="I23" s="25">
        <v>3</v>
      </c>
      <c r="J23" s="60" t="s">
        <v>31</v>
      </c>
      <c r="K23" s="465">
        <f>[2]REF_TAB_PREÇOS_SANEPAR!I44</f>
        <v>39.04</v>
      </c>
      <c r="L23" s="468"/>
      <c r="M23" s="61">
        <f>IF(G23="", "", IFERROR(IF(G23="Mat", BDI!C$31, IF(G23="MO", BDI!C$17)), ""))</f>
        <v>0.24490000000000001</v>
      </c>
      <c r="N23" s="26">
        <f t="shared" si="0"/>
        <v>48.600895999999992</v>
      </c>
      <c r="O23" s="62">
        <f t="shared" si="1"/>
        <v>117.12</v>
      </c>
      <c r="P23" s="27">
        <f t="shared" si="2"/>
        <v>145.80268799999999</v>
      </c>
    </row>
    <row r="24" spans="2:16">
      <c r="B24" s="505" t="s">
        <v>54</v>
      </c>
      <c r="C24" s="506"/>
      <c r="D24" s="506"/>
      <c r="E24" s="466" t="s">
        <v>55</v>
      </c>
      <c r="F24" s="481"/>
      <c r="G24" s="25" t="s">
        <v>29</v>
      </c>
      <c r="H24" s="25" t="s">
        <v>40</v>
      </c>
      <c r="I24" s="25">
        <v>1</v>
      </c>
      <c r="J24" s="60" t="s">
        <v>30</v>
      </c>
      <c r="K24" s="465">
        <f>[2]REF_TAB_PREÇOS_SANEPAR!I48</f>
        <v>1.02</v>
      </c>
      <c r="L24" s="468"/>
      <c r="M24" s="61">
        <f>IF(G24="", "", IFERROR(IF(G24="Mat", BDI!C$31, IF(G24="MO", BDI!C$17)), ""))</f>
        <v>0.24490000000000001</v>
      </c>
      <c r="N24" s="26">
        <f t="shared" si="0"/>
        <v>1.269798</v>
      </c>
      <c r="O24" s="62">
        <f t="shared" si="1"/>
        <v>1.02</v>
      </c>
      <c r="P24" s="27">
        <f t="shared" si="2"/>
        <v>1.269798</v>
      </c>
    </row>
    <row r="25" spans="2:16">
      <c r="B25" s="505" t="s">
        <v>56</v>
      </c>
      <c r="C25" s="506"/>
      <c r="D25" s="506"/>
      <c r="E25" s="466" t="s">
        <v>57</v>
      </c>
      <c r="F25" s="481"/>
      <c r="G25" s="25" t="s">
        <v>29</v>
      </c>
      <c r="H25" s="25" t="s">
        <v>40</v>
      </c>
      <c r="I25" s="25">
        <v>1</v>
      </c>
      <c r="J25" s="60" t="s">
        <v>30</v>
      </c>
      <c r="K25" s="465">
        <f>[2]REF_TAB_PREÇOS_SANEPAR!I83</f>
        <v>2.72</v>
      </c>
      <c r="L25" s="468"/>
      <c r="M25" s="61">
        <f>IF(G25="", "", IFERROR(IF(G25="Mat", BDI!C$31, IF(G25="MO", BDI!C$17)), ""))</f>
        <v>0.24490000000000001</v>
      </c>
      <c r="N25" s="26">
        <f>IF(K25="","",K25*(1+M25))</f>
        <v>3.3861279999999998</v>
      </c>
      <c r="O25" s="62">
        <f>K25*I25</f>
        <v>2.72</v>
      </c>
      <c r="P25" s="27">
        <f>N25*I25</f>
        <v>3.3861279999999998</v>
      </c>
    </row>
    <row r="26" spans="2:16">
      <c r="B26" s="480" t="s">
        <v>58</v>
      </c>
      <c r="C26" s="487"/>
      <c r="D26" s="487"/>
      <c r="E26" s="480" t="s">
        <v>59</v>
      </c>
      <c r="F26" s="487"/>
      <c r="G26" s="21"/>
      <c r="H26" s="21"/>
      <c r="I26" s="21"/>
      <c r="J26" s="57" t="s">
        <v>28</v>
      </c>
      <c r="K26" s="467" t="str">
        <f>[2]REF_TAB_PREÇOS_SANEPAR!I138</f>
        <v/>
      </c>
      <c r="L26" s="471"/>
      <c r="M26" s="58" t="str">
        <f>IF(G26="", "", IFERROR(IF(G26="Mat", BDI!C$31, IF(G26="MO", BDI!C$17)), ""))</f>
        <v/>
      </c>
      <c r="N26" s="23"/>
      <c r="O26" s="59"/>
      <c r="P26" s="24">
        <f>P27</f>
        <v>9047.6219749999982</v>
      </c>
    </row>
    <row r="27" spans="2:16">
      <c r="B27" s="505" t="s">
        <v>60</v>
      </c>
      <c r="C27" s="506"/>
      <c r="D27" s="506"/>
      <c r="E27" s="466" t="s">
        <v>61</v>
      </c>
      <c r="F27" s="481"/>
      <c r="G27" s="25" t="s">
        <v>29</v>
      </c>
      <c r="H27" s="25" t="s">
        <v>40</v>
      </c>
      <c r="I27" s="25">
        <v>25</v>
      </c>
      <c r="J27" s="60" t="s">
        <v>36</v>
      </c>
      <c r="K27" s="465">
        <f>[2]REF_TAB_PREÇOS_SANEPAR!I140</f>
        <v>290.70999999999998</v>
      </c>
      <c r="L27" s="468"/>
      <c r="M27" s="61">
        <f>IF(G27="", "", IFERROR(IF(G27="Mat", BDI!C$31, IF(G27="MO", BDI!C$17)), ""))</f>
        <v>0.24490000000000001</v>
      </c>
      <c r="N27" s="26">
        <f>IF(K27="","",K27*(1+M27))</f>
        <v>361.90487899999994</v>
      </c>
      <c r="O27" s="62">
        <f>K27*I27</f>
        <v>7267.7499999999991</v>
      </c>
      <c r="P27" s="27">
        <f>N27*I27</f>
        <v>9047.6219749999982</v>
      </c>
    </row>
    <row r="28" spans="2:16">
      <c r="B28" s="480" t="s">
        <v>64</v>
      </c>
      <c r="C28" s="487"/>
      <c r="D28" s="487"/>
      <c r="E28" s="480" t="s">
        <v>65</v>
      </c>
      <c r="F28" s="487"/>
      <c r="G28" s="21"/>
      <c r="H28" s="21"/>
      <c r="I28" s="21"/>
      <c r="J28" s="57" t="s">
        <v>28</v>
      </c>
      <c r="K28" s="467" t="str">
        <f>[2]REF_TAB_PREÇOS_SANEPAR!I167</f>
        <v/>
      </c>
      <c r="L28" s="471"/>
      <c r="M28" s="58" t="str">
        <f>IF(G28="", "", IFERROR(IF(G28="Mat", BDI!C$31, IF(G28="MO", BDI!C$17)), ""))</f>
        <v/>
      </c>
      <c r="N28" s="23"/>
      <c r="O28" s="59"/>
      <c r="P28" s="24">
        <f>P29</f>
        <v>191.86398799999998</v>
      </c>
    </row>
    <row r="29" spans="2:16">
      <c r="B29" s="505" t="s">
        <v>66</v>
      </c>
      <c r="C29" s="506"/>
      <c r="D29" s="506"/>
      <c r="E29" s="466" t="s">
        <v>67</v>
      </c>
      <c r="F29" s="481"/>
      <c r="G29" s="25" t="s">
        <v>29</v>
      </c>
      <c r="H29" s="25" t="s">
        <v>40</v>
      </c>
      <c r="I29" s="25">
        <v>1</v>
      </c>
      <c r="J29" s="60" t="s">
        <v>31</v>
      </c>
      <c r="K29" s="465">
        <f>[2]REF_TAB_PREÇOS_SANEPAR!I172</f>
        <v>154.12</v>
      </c>
      <c r="L29" s="468"/>
      <c r="M29" s="61">
        <f>IF(G29="", "", IFERROR(IF(G29="Mat", BDI!C$31, IF(G29="MO", BDI!C$17)), ""))</f>
        <v>0.24490000000000001</v>
      </c>
      <c r="N29" s="26">
        <f t="shared" ref="N29:N38" si="3">IF(K29="","",K29*(1+M29))</f>
        <v>191.86398799999998</v>
      </c>
      <c r="O29" s="62">
        <f t="shared" ref="O29:O38" si="4">K29*I29</f>
        <v>154.12</v>
      </c>
      <c r="P29" s="27">
        <f t="shared" ref="P29:P38" si="5">N29*I29</f>
        <v>191.86398799999998</v>
      </c>
    </row>
    <row r="30" spans="2:16">
      <c r="B30" s="509" t="s">
        <v>68</v>
      </c>
      <c r="C30" s="522"/>
      <c r="D30" s="522"/>
      <c r="E30" s="509" t="s">
        <v>69</v>
      </c>
      <c r="F30" s="522"/>
      <c r="G30" s="28"/>
      <c r="H30" s="28"/>
      <c r="I30" s="28"/>
      <c r="J30" s="64" t="s">
        <v>28</v>
      </c>
      <c r="K30" s="472" t="str">
        <f>[2]REF_TAB_PREÇOS_SANEPAR!I173</f>
        <v/>
      </c>
      <c r="L30" s="473"/>
      <c r="M30" s="65" t="str">
        <f>IF(G30="", "", IFERROR(IF(G30="Mat", BDI!C$31, IF(G30="MO", BDI!C$17)), ""))</f>
        <v/>
      </c>
      <c r="N30" s="29"/>
      <c r="O30" s="66"/>
      <c r="P30" s="30">
        <f>P31+P33+P36</f>
        <v>1841.4531830000001</v>
      </c>
    </row>
    <row r="31" spans="2:16">
      <c r="B31" s="480" t="s">
        <v>71</v>
      </c>
      <c r="C31" s="487"/>
      <c r="D31" s="487"/>
      <c r="E31" s="480" t="s">
        <v>72</v>
      </c>
      <c r="F31" s="487"/>
      <c r="G31" s="21"/>
      <c r="H31" s="21"/>
      <c r="I31" s="21"/>
      <c r="J31" s="57" t="s">
        <v>28</v>
      </c>
      <c r="K31" s="467" t="str">
        <f>[2]REF_TAB_PREÇOS_SANEPAR!I184</f>
        <v/>
      </c>
      <c r="L31" s="471"/>
      <c r="M31" s="58" t="str">
        <f>IF(G31="", "", IFERROR(IF(G31="Mat", BDI!C$31, IF(G31="MO", BDI!C$17)), ""))</f>
        <v/>
      </c>
      <c r="N31" s="23"/>
      <c r="O31" s="59"/>
      <c r="P31" s="24">
        <f>P32</f>
        <v>37.658224999999995</v>
      </c>
    </row>
    <row r="32" spans="2:16">
      <c r="B32" s="505" t="s">
        <v>73</v>
      </c>
      <c r="C32" s="506"/>
      <c r="D32" s="506"/>
      <c r="E32" s="466" t="s">
        <v>74</v>
      </c>
      <c r="F32" s="481"/>
      <c r="G32" s="25" t="s">
        <v>29</v>
      </c>
      <c r="H32" s="25" t="s">
        <v>40</v>
      </c>
      <c r="I32" s="25">
        <v>5</v>
      </c>
      <c r="J32" s="60" t="s">
        <v>30</v>
      </c>
      <c r="K32" s="465">
        <f>[2]REF_TAB_PREÇOS_SANEPAR!I185</f>
        <v>6.05</v>
      </c>
      <c r="L32" s="468"/>
      <c r="M32" s="61">
        <f>IF(G32="", "", IFERROR(IF(G32="Mat", BDI!C$31, IF(G32="MO", BDI!C$17)), ""))</f>
        <v>0.24490000000000001</v>
      </c>
      <c r="N32" s="26">
        <f t="shared" si="3"/>
        <v>7.5316449999999993</v>
      </c>
      <c r="O32" s="62">
        <f t="shared" si="4"/>
        <v>30.25</v>
      </c>
      <c r="P32" s="27">
        <f t="shared" si="5"/>
        <v>37.658224999999995</v>
      </c>
    </row>
    <row r="33" spans="2:16">
      <c r="B33" s="480" t="s">
        <v>75</v>
      </c>
      <c r="C33" s="487"/>
      <c r="D33" s="487"/>
      <c r="E33" s="480" t="s">
        <v>76</v>
      </c>
      <c r="F33" s="487"/>
      <c r="G33" s="21"/>
      <c r="H33" s="21"/>
      <c r="I33" s="21"/>
      <c r="J33" s="57" t="s">
        <v>28</v>
      </c>
      <c r="K33" s="467" t="str">
        <f>[2]REF_TAB_PREÇOS_SANEPAR!I201</f>
        <v/>
      </c>
      <c r="L33" s="471"/>
      <c r="M33" s="58" t="str">
        <f>IF(G33="", "", IFERROR(IF(G33="Mat", BDI!C$31, IF(G33="MO", BDI!C$17)), ""))</f>
        <v/>
      </c>
      <c r="N33" s="23"/>
      <c r="O33" s="59"/>
      <c r="P33" s="24">
        <f>P34+P35</f>
        <v>2.4179859999999995</v>
      </c>
    </row>
    <row r="34" spans="2:16">
      <c r="B34" s="505" t="s">
        <v>77</v>
      </c>
      <c r="C34" s="506"/>
      <c r="D34" s="506"/>
      <c r="E34" s="466" t="s">
        <v>78</v>
      </c>
      <c r="F34" s="481"/>
      <c r="G34" s="25" t="s">
        <v>39</v>
      </c>
      <c r="H34" s="25" t="s">
        <v>40</v>
      </c>
      <c r="I34" s="25">
        <v>1</v>
      </c>
      <c r="J34" s="60" t="s">
        <v>36</v>
      </c>
      <c r="K34" s="465">
        <f>[2]REF_TAB_PREÇOS_SANEPAR!I202</f>
        <v>0.3</v>
      </c>
      <c r="L34" s="468"/>
      <c r="M34" s="61">
        <f>IF(G34="", "", IFERROR(IF(G34="Mat", BDI!C$31, IF(G34="MO", BDI!C$17)), ""))</f>
        <v>0.12989999999999999</v>
      </c>
      <c r="N34" s="26">
        <f t="shared" si="3"/>
        <v>0.33896999999999994</v>
      </c>
      <c r="O34" s="62">
        <f t="shared" si="4"/>
        <v>0.3</v>
      </c>
      <c r="P34" s="27">
        <f t="shared" si="5"/>
        <v>0.33896999999999994</v>
      </c>
    </row>
    <row r="35" spans="2:16">
      <c r="B35" s="505" t="s">
        <v>79</v>
      </c>
      <c r="C35" s="506"/>
      <c r="D35" s="506"/>
      <c r="E35" s="466" t="s">
        <v>80</v>
      </c>
      <c r="F35" s="481"/>
      <c r="G35" s="25" t="s">
        <v>39</v>
      </c>
      <c r="H35" s="25" t="s">
        <v>40</v>
      </c>
      <c r="I35" s="25">
        <v>1</v>
      </c>
      <c r="J35" s="60" t="s">
        <v>36</v>
      </c>
      <c r="K35" s="465">
        <f>[2]REF_TAB_PREÇOS_SANEPAR!I205</f>
        <v>1.84</v>
      </c>
      <c r="L35" s="468"/>
      <c r="M35" s="61">
        <f>IF(G35="", "", IFERROR(IF(G35="Mat", BDI!C$31, IF(G35="MO", BDI!C$17)), ""))</f>
        <v>0.12989999999999999</v>
      </c>
      <c r="N35" s="26">
        <f t="shared" si="3"/>
        <v>2.0790159999999998</v>
      </c>
      <c r="O35" s="62">
        <f t="shared" si="4"/>
        <v>1.84</v>
      </c>
      <c r="P35" s="27">
        <f t="shared" si="5"/>
        <v>2.0790159999999998</v>
      </c>
    </row>
    <row r="36" spans="2:16">
      <c r="B36" s="480" t="s">
        <v>81</v>
      </c>
      <c r="C36" s="487"/>
      <c r="D36" s="487"/>
      <c r="E36" s="480" t="s">
        <v>82</v>
      </c>
      <c r="F36" s="487"/>
      <c r="G36" s="21"/>
      <c r="H36" s="21"/>
      <c r="I36" s="21"/>
      <c r="J36" s="57" t="s">
        <v>28</v>
      </c>
      <c r="K36" s="467" t="str">
        <f>[2]REF_TAB_PREÇOS_SANEPAR!I206</f>
        <v/>
      </c>
      <c r="L36" s="471"/>
      <c r="M36" s="58" t="str">
        <f>IF(G36="", "", IFERROR(IF(G36="Mat", BDI!C$31, IF(G36="MO", BDI!C$17)), ""))</f>
        <v/>
      </c>
      <c r="N36" s="23"/>
      <c r="O36" s="59"/>
      <c r="P36" s="24">
        <f>P37+P38</f>
        <v>1801.376972</v>
      </c>
    </row>
    <row r="37" spans="2:16">
      <c r="B37" s="505" t="s">
        <v>83</v>
      </c>
      <c r="C37" s="506"/>
      <c r="D37" s="506"/>
      <c r="E37" s="466" t="s">
        <v>84</v>
      </c>
      <c r="F37" s="481"/>
      <c r="G37" s="25" t="s">
        <v>39</v>
      </c>
      <c r="H37" s="25" t="s">
        <v>40</v>
      </c>
      <c r="I37" s="25">
        <v>4</v>
      </c>
      <c r="J37" s="60" t="s">
        <v>31</v>
      </c>
      <c r="K37" s="465">
        <f>[2]REF_TAB_PREÇOS_SANEPAR!I207</f>
        <v>151.33000000000001</v>
      </c>
      <c r="L37" s="468"/>
      <c r="M37" s="61">
        <f>IF(G37="", "", IFERROR(IF(G37="Mat", BDI!C$31, IF(G37="MO", BDI!C$17)), ""))</f>
        <v>0.12989999999999999</v>
      </c>
      <c r="N37" s="26">
        <f t="shared" si="3"/>
        <v>170.98776699999999</v>
      </c>
      <c r="O37" s="62">
        <f t="shared" si="4"/>
        <v>605.32000000000005</v>
      </c>
      <c r="P37" s="27">
        <f t="shared" si="5"/>
        <v>683.95106799999996</v>
      </c>
    </row>
    <row r="38" spans="2:16">
      <c r="B38" s="505" t="s">
        <v>85</v>
      </c>
      <c r="C38" s="506"/>
      <c r="D38" s="506"/>
      <c r="E38" s="466" t="s">
        <v>86</v>
      </c>
      <c r="F38" s="481"/>
      <c r="G38" s="25" t="s">
        <v>39</v>
      </c>
      <c r="H38" s="25" t="s">
        <v>40</v>
      </c>
      <c r="I38" s="25">
        <v>4</v>
      </c>
      <c r="J38" s="60" t="s">
        <v>31</v>
      </c>
      <c r="K38" s="465">
        <f>[2]REF_TAB_PREÇOS_SANEPAR!I208</f>
        <v>247.24</v>
      </c>
      <c r="L38" s="468"/>
      <c r="M38" s="61">
        <f>IF(G38="", "", IFERROR(IF(G38="Mat", BDI!C$31, IF(G38="MO", BDI!C$17)), ""))</f>
        <v>0.12989999999999999</v>
      </c>
      <c r="N38" s="26">
        <f t="shared" si="3"/>
        <v>279.35647599999999</v>
      </c>
      <c r="O38" s="62">
        <f t="shared" si="4"/>
        <v>988.96</v>
      </c>
      <c r="P38" s="27">
        <f t="shared" si="5"/>
        <v>1117.4259039999999</v>
      </c>
    </row>
    <row r="39" spans="2:16">
      <c r="B39" s="482"/>
      <c r="C39" s="482"/>
      <c r="D39" s="482"/>
      <c r="E39" s="482" t="s">
        <v>546</v>
      </c>
      <c r="F39" s="482"/>
      <c r="G39" s="32"/>
      <c r="H39" s="32"/>
      <c r="I39" s="32"/>
      <c r="J39" s="52"/>
      <c r="K39" s="475"/>
      <c r="L39" s="475"/>
      <c r="M39" s="108" t="str">
        <f>IF(G39="", "", IFERROR(IF(G39="Mat", BDI!C$31, IF(G39="MO", BDI!C$17)), ""))</f>
        <v/>
      </c>
      <c r="N39" s="33"/>
      <c r="O39" s="68"/>
      <c r="P39" s="34">
        <f>P40+P45+P59+P68+P131</f>
        <v>209763.41615061997</v>
      </c>
    </row>
    <row r="40" spans="2:16">
      <c r="B40" s="509" t="s">
        <v>87</v>
      </c>
      <c r="C40" s="522"/>
      <c r="D40" s="522"/>
      <c r="E40" s="509" t="s">
        <v>88</v>
      </c>
      <c r="F40" s="522"/>
      <c r="G40" s="28"/>
      <c r="H40" s="28"/>
      <c r="I40" s="28"/>
      <c r="J40" s="64" t="s">
        <v>28</v>
      </c>
      <c r="K40" s="472" t="str">
        <f>[2]REF_TAB_PREÇOS_SANEPAR!I249</f>
        <v/>
      </c>
      <c r="L40" s="473"/>
      <c r="M40" s="65" t="str">
        <f>IF(G40="", "", IFERROR(IF(G40="Mat", BDI!C$31, IF(G40="MO", BDI!C$17)), ""))</f>
        <v/>
      </c>
      <c r="N40" s="29"/>
      <c r="O40" s="66"/>
      <c r="P40" s="30">
        <f>P41+P43</f>
        <v>34.135158000000004</v>
      </c>
    </row>
    <row r="41" spans="2:16">
      <c r="B41" s="480" t="s">
        <v>90</v>
      </c>
      <c r="C41" s="487"/>
      <c r="D41" s="487"/>
      <c r="E41" s="480" t="s">
        <v>91</v>
      </c>
      <c r="F41" s="487"/>
      <c r="G41" s="21"/>
      <c r="H41" s="21"/>
      <c r="I41" s="21"/>
      <c r="J41" s="57" t="s">
        <v>28</v>
      </c>
      <c r="K41" s="467" t="str">
        <f>[2]REF_TAB_PREÇOS_SANEPAR!I296</f>
        <v/>
      </c>
      <c r="L41" s="471"/>
      <c r="M41" s="58" t="str">
        <f>IF(G41="", "", IFERROR(IF(G41="Mat", BDI!C$31, IF(G41="MO", BDI!C$17)), ""))</f>
        <v/>
      </c>
      <c r="N41" s="23"/>
      <c r="O41" s="59"/>
      <c r="P41" s="24">
        <f>P42</f>
        <v>22.955956</v>
      </c>
    </row>
    <row r="42" spans="2:16">
      <c r="B42" s="505" t="s">
        <v>92</v>
      </c>
      <c r="C42" s="506"/>
      <c r="D42" s="506"/>
      <c r="E42" s="466" t="s">
        <v>89</v>
      </c>
      <c r="F42" s="481"/>
      <c r="G42" s="25" t="s">
        <v>29</v>
      </c>
      <c r="H42" s="25" t="s">
        <v>40</v>
      </c>
      <c r="I42" s="43">
        <v>1</v>
      </c>
      <c r="J42" s="60" t="s">
        <v>70</v>
      </c>
      <c r="K42" s="465">
        <f>[2]REF_TAB_PREÇOS_SANEPAR!I299</f>
        <v>18.440000000000001</v>
      </c>
      <c r="L42" s="468"/>
      <c r="M42" s="61">
        <f>IF(G42="", "", IFERROR(IF(G42="Mat", BDI!C$31, IF(G42="MO", BDI!C$17)), ""))</f>
        <v>0.24490000000000001</v>
      </c>
      <c r="N42" s="26">
        <f>IF(K42="","",K42*(1+M42))</f>
        <v>22.955956</v>
      </c>
      <c r="O42" s="62">
        <f>K42*I42</f>
        <v>18.440000000000001</v>
      </c>
      <c r="P42" s="27">
        <f>N42*I42</f>
        <v>22.955956</v>
      </c>
    </row>
    <row r="43" spans="2:16">
      <c r="B43" s="480" t="s">
        <v>93</v>
      </c>
      <c r="C43" s="487"/>
      <c r="D43" s="487"/>
      <c r="E43" s="480" t="s">
        <v>94</v>
      </c>
      <c r="F43" s="487"/>
      <c r="G43" s="21"/>
      <c r="H43" s="21"/>
      <c r="I43" s="21"/>
      <c r="J43" s="57" t="s">
        <v>28</v>
      </c>
      <c r="K43" s="467" t="str">
        <f>[2]REF_TAB_PREÇOS_SANEPAR!I330</f>
        <v/>
      </c>
      <c r="L43" s="471"/>
      <c r="M43" s="58" t="str">
        <f>IF(G43="", "", IFERROR(IF(G43="Mat", BDI!C$31, IF(G43="MO", BDI!C$17)), ""))</f>
        <v/>
      </c>
      <c r="N43" s="23"/>
      <c r="O43" s="59"/>
      <c r="P43" s="24">
        <f>P44</f>
        <v>11.179202</v>
      </c>
    </row>
    <row r="44" spans="2:16">
      <c r="B44" s="505" t="s">
        <v>95</v>
      </c>
      <c r="C44" s="506"/>
      <c r="D44" s="506"/>
      <c r="E44" s="466" t="s">
        <v>96</v>
      </c>
      <c r="F44" s="481"/>
      <c r="G44" s="25" t="s">
        <v>29</v>
      </c>
      <c r="H44" s="25" t="s">
        <v>40</v>
      </c>
      <c r="I44" s="25">
        <v>1</v>
      </c>
      <c r="J44" s="60" t="s">
        <v>70</v>
      </c>
      <c r="K44" s="465">
        <f>[2]REF_TAB_PREÇOS_SANEPAR!I331</f>
        <v>8.98</v>
      </c>
      <c r="L44" s="468"/>
      <c r="M44" s="61">
        <f>IF(G44="", "", IFERROR(IF(G44="Mat", BDI!C$31, IF(G44="MO", BDI!C$17)), ""))</f>
        <v>0.24490000000000001</v>
      </c>
      <c r="N44" s="26">
        <f>IF(K44="","",K44*(1+M44))</f>
        <v>11.179202</v>
      </c>
      <c r="O44" s="62">
        <f>K44*I44</f>
        <v>8.98</v>
      </c>
      <c r="P44" s="27">
        <f>N44*I44</f>
        <v>11.179202</v>
      </c>
    </row>
    <row r="45" spans="2:16">
      <c r="B45" s="509" t="s">
        <v>98</v>
      </c>
      <c r="C45" s="522"/>
      <c r="D45" s="522"/>
      <c r="E45" s="509" t="s">
        <v>99</v>
      </c>
      <c r="F45" s="522"/>
      <c r="G45" s="28"/>
      <c r="H45" s="28"/>
      <c r="I45" s="28"/>
      <c r="J45" s="64" t="s">
        <v>28</v>
      </c>
      <c r="K45" s="472"/>
      <c r="L45" s="473"/>
      <c r="M45" s="65" t="str">
        <f>IF(G45="", "", IFERROR(IF(G45="Mat", BDI!C$31, IF(G45="MO", BDI!C$17)), ""))</f>
        <v/>
      </c>
      <c r="N45" s="29"/>
      <c r="O45" s="66"/>
      <c r="P45" s="30">
        <f>P46+P48+P51+P53+P55+P57</f>
        <v>2267.3488189999998</v>
      </c>
    </row>
    <row r="46" spans="2:16" ht="14.45" customHeight="1">
      <c r="B46" s="480" t="s">
        <v>108</v>
      </c>
      <c r="C46" s="487"/>
      <c r="D46" s="487"/>
      <c r="E46" s="480" t="s">
        <v>109</v>
      </c>
      <c r="F46" s="487"/>
      <c r="G46" s="21"/>
      <c r="H46" s="21"/>
      <c r="I46" s="21"/>
      <c r="J46" s="57" t="s">
        <v>28</v>
      </c>
      <c r="K46" s="467"/>
      <c r="L46" s="471"/>
      <c r="M46" s="58" t="str">
        <f>IF(G46="", "", IFERROR(IF(G46="Mat", BDI!C$31, IF(G46="MO", BDI!C$17)), ""))</f>
        <v/>
      </c>
      <c r="N46" s="23"/>
      <c r="O46" s="59"/>
      <c r="P46" s="24">
        <f>P47</f>
        <v>151.30514600000001</v>
      </c>
    </row>
    <row r="47" spans="2:16" ht="14.45" customHeight="1">
      <c r="B47" s="505" t="s">
        <v>110</v>
      </c>
      <c r="C47" s="506"/>
      <c r="D47" s="506"/>
      <c r="E47" s="466" t="s">
        <v>111</v>
      </c>
      <c r="F47" s="481"/>
      <c r="G47" s="25" t="s">
        <v>29</v>
      </c>
      <c r="H47" s="25" t="s">
        <v>40</v>
      </c>
      <c r="I47" s="25">
        <v>1</v>
      </c>
      <c r="J47" s="60" t="s">
        <v>30</v>
      </c>
      <c r="K47" s="465">
        <v>121.54</v>
      </c>
      <c r="L47" s="468"/>
      <c r="M47" s="61">
        <f>IF(G47="", "", IFERROR(IF(G47="Mat", BDI!C$31, IF(G47="MO", BDI!C$17)), ""))</f>
        <v>0.24490000000000001</v>
      </c>
      <c r="N47" s="26">
        <f>IF(K47="","",K47*(1+M47))</f>
        <v>151.30514600000001</v>
      </c>
      <c r="O47" s="62">
        <f>K47*I47</f>
        <v>121.54</v>
      </c>
      <c r="P47" s="27">
        <f>N47*I47</f>
        <v>151.30514600000001</v>
      </c>
    </row>
    <row r="48" spans="2:16">
      <c r="B48" s="480" t="s">
        <v>115</v>
      </c>
      <c r="C48" s="487"/>
      <c r="D48" s="487"/>
      <c r="E48" s="480" t="s">
        <v>116</v>
      </c>
      <c r="F48" s="487"/>
      <c r="G48" s="21"/>
      <c r="H48" s="21"/>
      <c r="I48" s="21"/>
      <c r="J48" s="57" t="s">
        <v>28</v>
      </c>
      <c r="K48" s="467"/>
      <c r="L48" s="471"/>
      <c r="M48" s="58" t="str">
        <f>IF(G48="", "", IFERROR(IF(G48="Mat", BDI!C$31, IF(G48="MO", BDI!C$17)), ""))</f>
        <v/>
      </c>
      <c r="N48" s="23" t="str">
        <f>IF(K48="","",K48*(1+M48))</f>
        <v/>
      </c>
      <c r="O48" s="59"/>
      <c r="P48" s="24">
        <f>P49+P50</f>
        <v>39.139655999999995</v>
      </c>
    </row>
    <row r="49" spans="2:16">
      <c r="B49" s="505" t="s">
        <v>117</v>
      </c>
      <c r="C49" s="506"/>
      <c r="D49" s="506"/>
      <c r="E49" s="466" t="s">
        <v>118</v>
      </c>
      <c r="F49" s="481"/>
      <c r="G49" s="25" t="s">
        <v>29</v>
      </c>
      <c r="H49" s="25" t="s">
        <v>40</v>
      </c>
      <c r="I49" s="25">
        <v>1</v>
      </c>
      <c r="J49" s="60" t="s">
        <v>119</v>
      </c>
      <c r="K49" s="465">
        <v>15.36</v>
      </c>
      <c r="L49" s="468"/>
      <c r="M49" s="61">
        <f>IF(G49="", "", IFERROR(IF(G49="Mat", BDI!C$31, IF(G49="MO", BDI!C$17)), ""))</f>
        <v>0.24490000000000001</v>
      </c>
      <c r="N49" s="26">
        <f>IF(K49="","",K49*(1+M49))</f>
        <v>19.121663999999999</v>
      </c>
      <c r="O49" s="62">
        <f>K49*I49</f>
        <v>15.36</v>
      </c>
      <c r="P49" s="27">
        <f>N49*I49</f>
        <v>19.121663999999999</v>
      </c>
    </row>
    <row r="50" spans="2:16">
      <c r="B50" s="505" t="s">
        <v>120</v>
      </c>
      <c r="C50" s="506"/>
      <c r="D50" s="506"/>
      <c r="E50" s="466" t="s">
        <v>121</v>
      </c>
      <c r="F50" s="481"/>
      <c r="G50" s="25" t="s">
        <v>29</v>
      </c>
      <c r="H50" s="25" t="s">
        <v>40</v>
      </c>
      <c r="I50" s="25">
        <v>1</v>
      </c>
      <c r="J50" s="60" t="s">
        <v>119</v>
      </c>
      <c r="K50" s="465">
        <v>16.079999999999998</v>
      </c>
      <c r="L50" s="468"/>
      <c r="M50" s="61">
        <f>IF(G50="", "", IFERROR(IF(G50="Mat", BDI!C$31, IF(G50="MO", BDI!C$17)), ""))</f>
        <v>0.24490000000000001</v>
      </c>
      <c r="N50" s="26">
        <f>IF(K50="","",K50*(1+M50))</f>
        <v>20.017991999999996</v>
      </c>
      <c r="O50" s="62">
        <f>K50*I50</f>
        <v>16.079999999999998</v>
      </c>
      <c r="P50" s="27">
        <f>N50*I50</f>
        <v>20.017991999999996</v>
      </c>
    </row>
    <row r="51" spans="2:16">
      <c r="B51" s="480" t="s">
        <v>122</v>
      </c>
      <c r="C51" s="487"/>
      <c r="D51" s="487"/>
      <c r="E51" s="480" t="s">
        <v>123</v>
      </c>
      <c r="F51" s="487"/>
      <c r="G51" s="21"/>
      <c r="H51" s="21"/>
      <c r="I51" s="21"/>
      <c r="J51" s="57" t="s">
        <v>28</v>
      </c>
      <c r="K51" s="467"/>
      <c r="L51" s="471"/>
      <c r="M51" s="58" t="str">
        <f>IF(G51="", "", IFERROR(IF(G51="Mat", BDI!C$31, IF(G51="MO", BDI!C$17)), ""))</f>
        <v/>
      </c>
      <c r="N51" s="23"/>
      <c r="O51" s="59"/>
      <c r="P51" s="24">
        <f>P52</f>
        <v>1012.987579</v>
      </c>
    </row>
    <row r="52" spans="2:16">
      <c r="B52" s="505" t="s">
        <v>124</v>
      </c>
      <c r="C52" s="506"/>
      <c r="D52" s="506"/>
      <c r="E52" s="466" t="s">
        <v>125</v>
      </c>
      <c r="F52" s="481"/>
      <c r="G52" s="25" t="s">
        <v>29</v>
      </c>
      <c r="H52" s="25" t="s">
        <v>40</v>
      </c>
      <c r="I52" s="25">
        <v>1</v>
      </c>
      <c r="J52" s="60" t="s">
        <v>70</v>
      </c>
      <c r="K52" s="465">
        <v>813.71</v>
      </c>
      <c r="L52" s="468"/>
      <c r="M52" s="61">
        <f>IF(G52="", "", IFERROR(IF(G52="Mat", BDI!C$31, IF(G52="MO", BDI!C$17)), ""))</f>
        <v>0.24490000000000001</v>
      </c>
      <c r="N52" s="26">
        <f>IF(K52="","",K52*(1+M52))</f>
        <v>1012.987579</v>
      </c>
      <c r="O52" s="62">
        <f>K52*I52</f>
        <v>813.71</v>
      </c>
      <c r="P52" s="27">
        <f>N52*I52</f>
        <v>1012.987579</v>
      </c>
    </row>
    <row r="53" spans="2:16">
      <c r="B53" s="480" t="s">
        <v>126</v>
      </c>
      <c r="C53" s="487"/>
      <c r="D53" s="487"/>
      <c r="E53" s="480" t="s">
        <v>127</v>
      </c>
      <c r="F53" s="487"/>
      <c r="G53" s="21"/>
      <c r="H53" s="21"/>
      <c r="I53" s="21"/>
      <c r="J53" s="57" t="s">
        <v>28</v>
      </c>
      <c r="K53" s="467"/>
      <c r="L53" s="471"/>
      <c r="M53" s="58" t="str">
        <f>IF(G53="", "", IFERROR(IF(G53="Mat", BDI!C$31, IF(G53="MO", BDI!C$17)), ""))</f>
        <v/>
      </c>
      <c r="N53" s="23"/>
      <c r="O53" s="59"/>
      <c r="P53" s="24">
        <f>P54</f>
        <v>717.43586999999991</v>
      </c>
    </row>
    <row r="54" spans="2:16">
      <c r="B54" s="505" t="s">
        <v>128</v>
      </c>
      <c r="C54" s="506"/>
      <c r="D54" s="506"/>
      <c r="E54" s="466" t="s">
        <v>129</v>
      </c>
      <c r="F54" s="466"/>
      <c r="G54" s="25" t="s">
        <v>29</v>
      </c>
      <c r="H54" s="25" t="s">
        <v>40</v>
      </c>
      <c r="I54" s="25">
        <v>1</v>
      </c>
      <c r="J54" s="60" t="s">
        <v>70</v>
      </c>
      <c r="K54" s="465">
        <v>576.29999999999995</v>
      </c>
      <c r="L54" s="468"/>
      <c r="M54" s="61">
        <f>IF(G54="", "", IFERROR(IF(G54="Mat", BDI!C$31, IF(G54="MO", BDI!C$17)), ""))</f>
        <v>0.24490000000000001</v>
      </c>
      <c r="N54" s="26">
        <f>IF(K54="","",K54*(1+M54))</f>
        <v>717.43586999999991</v>
      </c>
      <c r="O54" s="62">
        <f>K54*I54</f>
        <v>576.29999999999995</v>
      </c>
      <c r="P54" s="27">
        <f>N54*I54</f>
        <v>717.43586999999991</v>
      </c>
    </row>
    <row r="55" spans="2:16">
      <c r="B55" s="480" t="s">
        <v>130</v>
      </c>
      <c r="C55" s="487"/>
      <c r="D55" s="487"/>
      <c r="E55" s="480" t="s">
        <v>131</v>
      </c>
      <c r="F55" s="487"/>
      <c r="G55" s="21"/>
      <c r="H55" s="21"/>
      <c r="I55" s="21"/>
      <c r="J55" s="57" t="s">
        <v>28</v>
      </c>
      <c r="K55" s="467"/>
      <c r="L55" s="471"/>
      <c r="M55" s="58" t="str">
        <f>IF(G55="", "", IFERROR(IF(G55="Mat", BDI!C$31, IF(G55="MO", BDI!C$17)), ""))</f>
        <v/>
      </c>
      <c r="N55" s="23"/>
      <c r="O55" s="59"/>
      <c r="P55" s="24">
        <f>P56</f>
        <v>65.693372999999994</v>
      </c>
    </row>
    <row r="56" spans="2:16">
      <c r="B56" s="505" t="s">
        <v>132</v>
      </c>
      <c r="C56" s="506"/>
      <c r="D56" s="506"/>
      <c r="E56" s="466" t="s">
        <v>133</v>
      </c>
      <c r="F56" s="481"/>
      <c r="G56" s="25" t="s">
        <v>29</v>
      </c>
      <c r="H56" s="25" t="s">
        <v>40</v>
      </c>
      <c r="I56" s="25">
        <v>1</v>
      </c>
      <c r="J56" s="60" t="s">
        <v>70</v>
      </c>
      <c r="K56" s="465">
        <v>52.77</v>
      </c>
      <c r="L56" s="468"/>
      <c r="M56" s="61">
        <f>IF(G56="", "", IFERROR(IF(G56="Mat", BDI!C$31, IF(G56="MO", BDI!C$17)), ""))</f>
        <v>0.24490000000000001</v>
      </c>
      <c r="N56" s="26">
        <f>IF(K56="","",K56*(1+M56))</f>
        <v>65.693372999999994</v>
      </c>
      <c r="O56" s="62">
        <f>K56*I56</f>
        <v>52.77</v>
      </c>
      <c r="P56" s="27">
        <f>N56*I56</f>
        <v>65.693372999999994</v>
      </c>
    </row>
    <row r="57" spans="2:16">
      <c r="B57" s="480" t="s">
        <v>134</v>
      </c>
      <c r="C57" s="487"/>
      <c r="D57" s="487"/>
      <c r="E57" s="480" t="s">
        <v>135</v>
      </c>
      <c r="F57" s="487"/>
      <c r="G57" s="21"/>
      <c r="H57" s="21"/>
      <c r="I57" s="21"/>
      <c r="J57" s="57" t="s">
        <v>28</v>
      </c>
      <c r="K57" s="467"/>
      <c r="L57" s="471"/>
      <c r="M57" s="58" t="str">
        <f>IF(G57="", "", IFERROR(IF(G57="Mat", BDI!C$31, IF(G57="MO", BDI!C$17)), ""))</f>
        <v/>
      </c>
      <c r="N57" s="23"/>
      <c r="O57" s="59"/>
      <c r="P57" s="24">
        <f>P58</f>
        <v>280.787195</v>
      </c>
    </row>
    <row r="58" spans="2:16">
      <c r="B58" s="505" t="s">
        <v>136</v>
      </c>
      <c r="C58" s="506"/>
      <c r="D58" s="506"/>
      <c r="E58" s="466" t="s">
        <v>137</v>
      </c>
      <c r="F58" s="481"/>
      <c r="G58" s="25" t="s">
        <v>29</v>
      </c>
      <c r="H58" s="25" t="s">
        <v>40</v>
      </c>
      <c r="I58" s="25">
        <v>1</v>
      </c>
      <c r="J58" s="60" t="s">
        <v>30</v>
      </c>
      <c r="K58" s="465">
        <v>225.55</v>
      </c>
      <c r="L58" s="468"/>
      <c r="M58" s="61">
        <f>IF(G58="", "", IFERROR(IF(G58="Mat", BDI!C$31, IF(G58="MO", BDI!C$17)), ""))</f>
        <v>0.24490000000000001</v>
      </c>
      <c r="N58" s="26">
        <f>IF(K58="","",K58*(1+M58))</f>
        <v>280.787195</v>
      </c>
      <c r="O58" s="62">
        <f>K58*I58</f>
        <v>225.55</v>
      </c>
      <c r="P58" s="27">
        <f>N58*I58</f>
        <v>280.787195</v>
      </c>
    </row>
    <row r="59" spans="2:16">
      <c r="B59" s="509" t="s">
        <v>138</v>
      </c>
      <c r="C59" s="522"/>
      <c r="D59" s="522"/>
      <c r="E59" s="509" t="s">
        <v>139</v>
      </c>
      <c r="F59" s="522"/>
      <c r="G59" s="28"/>
      <c r="H59" s="28"/>
      <c r="I59" s="28"/>
      <c r="J59" s="64" t="s">
        <v>28</v>
      </c>
      <c r="K59" s="472" t="str">
        <f>[2]REF_TAB_PREÇOS_SANEPAR!I673</f>
        <v/>
      </c>
      <c r="L59" s="473"/>
      <c r="M59" s="65" t="str">
        <f>IF(G59="", "", IFERROR(IF(G59="Mat", BDI!C$31, IF(G59="MO", BDI!C$17)), ""))</f>
        <v/>
      </c>
      <c r="N59" s="29"/>
      <c r="O59" s="66"/>
      <c r="P59" s="30">
        <f>P60+P62+P65</f>
        <v>6372.7499124199994</v>
      </c>
    </row>
    <row r="60" spans="2:16">
      <c r="B60" s="480" t="s">
        <v>142</v>
      </c>
      <c r="C60" s="487"/>
      <c r="D60" s="487"/>
      <c r="E60" s="480" t="s">
        <v>143</v>
      </c>
      <c r="F60" s="487"/>
      <c r="G60" s="21"/>
      <c r="H60" s="21"/>
      <c r="I60" s="21"/>
      <c r="J60" s="57" t="s">
        <v>28</v>
      </c>
      <c r="K60" s="467" t="str">
        <f>[2]REF_TAB_PREÇOS_SANEPAR!I689</f>
        <v/>
      </c>
      <c r="L60" s="471"/>
      <c r="M60" s="58" t="str">
        <f>IF(G60="", "", IFERROR(IF(G60="Mat", BDI!C$31, IF(G60="MO", BDI!C$17)), ""))</f>
        <v/>
      </c>
      <c r="N60" s="23"/>
      <c r="O60" s="59"/>
      <c r="P60" s="24">
        <f>P61</f>
        <v>13.432470999999998</v>
      </c>
    </row>
    <row r="61" spans="2:16">
      <c r="B61" s="505" t="s">
        <v>144</v>
      </c>
      <c r="C61" s="506"/>
      <c r="D61" s="506"/>
      <c r="E61" s="466" t="s">
        <v>141</v>
      </c>
      <c r="F61" s="481"/>
      <c r="G61" s="25" t="s">
        <v>29</v>
      </c>
      <c r="H61" s="25" t="s">
        <v>40</v>
      </c>
      <c r="I61" s="25">
        <v>1</v>
      </c>
      <c r="J61" s="60" t="s">
        <v>36</v>
      </c>
      <c r="K61" s="465">
        <f>[2]REF_TAB_PREÇOS_SANEPAR!I692</f>
        <v>10.79</v>
      </c>
      <c r="L61" s="468"/>
      <c r="M61" s="61">
        <f>IF(G61="", "", IFERROR(IF(G61="Mat", BDI!C$31, IF(G61="MO", BDI!C$17)), ""))</f>
        <v>0.24490000000000001</v>
      </c>
      <c r="N61" s="26">
        <f>IF(K61="","",K61*(1+M61))</f>
        <v>13.432470999999998</v>
      </c>
      <c r="O61" s="62">
        <f>K61*I61</f>
        <v>10.79</v>
      </c>
      <c r="P61" s="27">
        <f>N61*I61</f>
        <v>13.432470999999998</v>
      </c>
    </row>
    <row r="62" spans="2:16">
      <c r="B62" s="480" t="s">
        <v>149</v>
      </c>
      <c r="C62" s="487"/>
      <c r="D62" s="487"/>
      <c r="E62" s="480" t="s">
        <v>150</v>
      </c>
      <c r="F62" s="487"/>
      <c r="G62" s="21"/>
      <c r="H62" s="21"/>
      <c r="I62" s="21"/>
      <c r="J62" s="57" t="s">
        <v>28</v>
      </c>
      <c r="K62" s="467" t="str">
        <f>[2]REF_TAB_PREÇOS_SANEPAR!I763</f>
        <v/>
      </c>
      <c r="L62" s="471"/>
      <c r="M62" s="58" t="str">
        <f>IF(G62="", "", IFERROR(IF(G62="Mat", BDI!C$31, IF(G62="MO", BDI!C$17)), ""))</f>
        <v/>
      </c>
      <c r="N62" s="23"/>
      <c r="O62" s="59"/>
      <c r="P62" s="35">
        <f>P63+P64</f>
        <v>39.575370999999997</v>
      </c>
    </row>
    <row r="63" spans="2:16">
      <c r="B63" s="505" t="s">
        <v>151</v>
      </c>
      <c r="C63" s="506"/>
      <c r="D63" s="506"/>
      <c r="E63" s="550" t="s">
        <v>140</v>
      </c>
      <c r="F63" s="481"/>
      <c r="G63" s="25" t="s">
        <v>29</v>
      </c>
      <c r="H63" s="25" t="s">
        <v>40</v>
      </c>
      <c r="I63" s="25">
        <v>1</v>
      </c>
      <c r="J63" s="60" t="s">
        <v>36</v>
      </c>
      <c r="K63" s="465">
        <f>[2]REF_TAB_PREÇOS_SANEPAR!I766</f>
        <v>13.94</v>
      </c>
      <c r="L63" s="468"/>
      <c r="M63" s="61">
        <f>IF(G63="", "", IFERROR(IF(G63="Mat", BDI!C$31, IF(G63="MO", BDI!C$17)), ""))</f>
        <v>0.24490000000000001</v>
      </c>
      <c r="N63" s="26">
        <f>IF(K63="","",K63*(1+M63))</f>
        <v>17.353905999999998</v>
      </c>
      <c r="O63" s="62">
        <f>K63*I63</f>
        <v>13.94</v>
      </c>
      <c r="P63" s="27">
        <f>N63*I63</f>
        <v>17.353905999999998</v>
      </c>
    </row>
    <row r="64" spans="2:16">
      <c r="B64" s="505" t="s">
        <v>152</v>
      </c>
      <c r="C64" s="506"/>
      <c r="D64" s="506"/>
      <c r="E64" s="466" t="s">
        <v>141</v>
      </c>
      <c r="F64" s="481"/>
      <c r="G64" s="25" t="s">
        <v>29</v>
      </c>
      <c r="H64" s="25" t="s">
        <v>40</v>
      </c>
      <c r="I64" s="25">
        <v>1</v>
      </c>
      <c r="J64" s="60" t="s">
        <v>36</v>
      </c>
      <c r="K64" s="465">
        <f>[2]REF_TAB_PREÇOS_SANEPAR!I767</f>
        <v>17.850000000000001</v>
      </c>
      <c r="L64" s="468"/>
      <c r="M64" s="61">
        <f>IF(G64="", "", IFERROR(IF(G64="Mat", BDI!C$31, IF(G64="MO", BDI!C$17)), ""))</f>
        <v>0.24490000000000001</v>
      </c>
      <c r="N64" s="26">
        <f>IF(K64="","",K64*(1+M64))</f>
        <v>22.221464999999998</v>
      </c>
      <c r="O64" s="62">
        <f>K64*I64</f>
        <v>17.850000000000001</v>
      </c>
      <c r="P64" s="27">
        <f>N64*I64</f>
        <v>22.221464999999998</v>
      </c>
    </row>
    <row r="65" spans="2:16">
      <c r="B65" s="480" t="s">
        <v>153</v>
      </c>
      <c r="C65" s="487"/>
      <c r="D65" s="487"/>
      <c r="E65" s="480" t="s">
        <v>154</v>
      </c>
      <c r="F65" s="487"/>
      <c r="G65" s="21"/>
      <c r="H65" s="21"/>
      <c r="I65" s="21"/>
      <c r="J65" s="57" t="s">
        <v>28</v>
      </c>
      <c r="K65" s="467" t="str">
        <f>[2]REF_TAB_PREÇOS_SANEPAR!I841</f>
        <v/>
      </c>
      <c r="L65" s="471"/>
      <c r="M65" s="58" t="str">
        <f>IF(G65="", "", IFERROR(IF(G65="Mat", BDI!C$31, IF(G65="MO", BDI!C$17)), ""))</f>
        <v/>
      </c>
      <c r="N65" s="23"/>
      <c r="O65" s="59"/>
      <c r="P65" s="24">
        <f>P66+P67</f>
        <v>6319.7420704199994</v>
      </c>
    </row>
    <row r="66" spans="2:16">
      <c r="B66" s="505" t="s">
        <v>155</v>
      </c>
      <c r="C66" s="506"/>
      <c r="D66" s="506"/>
      <c r="E66" s="466" t="s">
        <v>156</v>
      </c>
      <c r="F66" s="481"/>
      <c r="G66" s="25" t="s">
        <v>29</v>
      </c>
      <c r="H66" s="25" t="s">
        <v>40</v>
      </c>
      <c r="I66" s="25">
        <v>1</v>
      </c>
      <c r="J66" s="60" t="s">
        <v>31</v>
      </c>
      <c r="K66" s="465">
        <f>[2]REF_TAB_PREÇOS_SANEPAR!I842</f>
        <v>3473.34</v>
      </c>
      <c r="L66" s="468"/>
      <c r="M66" s="61">
        <f>IF(G66="", "", IFERROR(IF(G66="Mat", BDI!C$31, IF(G66="MO", BDI!C$17)), ""))</f>
        <v>0.24490000000000001</v>
      </c>
      <c r="N66" s="26">
        <f>IF(K66="","",K66*(1+M66))</f>
        <v>4323.9609659999996</v>
      </c>
      <c r="O66" s="62">
        <f>K66*I66</f>
        <v>3473.34</v>
      </c>
      <c r="P66" s="27">
        <f>N66*I66</f>
        <v>4323.9609659999996</v>
      </c>
    </row>
    <row r="67" spans="2:16">
      <c r="B67" s="505" t="s">
        <v>157</v>
      </c>
      <c r="C67" s="506"/>
      <c r="D67" s="506"/>
      <c r="E67" s="466" t="s">
        <v>158</v>
      </c>
      <c r="F67" s="481"/>
      <c r="G67" s="25" t="s">
        <v>29</v>
      </c>
      <c r="H67" s="25" t="s">
        <v>40</v>
      </c>
      <c r="I67" s="25">
        <f>3.42-2</f>
        <v>1.42</v>
      </c>
      <c r="J67" s="60" t="s">
        <v>36</v>
      </c>
      <c r="K67" s="465">
        <f>[2]REF_TAB_PREÇOS_SANEPAR!I843</f>
        <v>1128.99</v>
      </c>
      <c r="L67" s="468"/>
      <c r="M67" s="61">
        <f>IF(G67="", "", IFERROR(IF(G67="Mat", BDI!C$31, IF(G67="MO", BDI!C$17)), ""))</f>
        <v>0.24490000000000001</v>
      </c>
      <c r="N67" s="26">
        <f>IF(K67="","",K67*(1+M67))</f>
        <v>1405.4796509999999</v>
      </c>
      <c r="O67" s="62">
        <f>K67*I67</f>
        <v>1603.1658</v>
      </c>
      <c r="P67" s="27">
        <f>N67*I67</f>
        <v>1995.7811044199998</v>
      </c>
    </row>
    <row r="68" spans="2:16">
      <c r="B68" s="509" t="s">
        <v>231</v>
      </c>
      <c r="C68" s="522"/>
      <c r="D68" s="522"/>
      <c r="E68" s="509" t="s">
        <v>232</v>
      </c>
      <c r="F68" s="522"/>
      <c r="G68" s="28"/>
      <c r="H68" s="28"/>
      <c r="I68" s="28"/>
      <c r="J68" s="64" t="s">
        <v>28</v>
      </c>
      <c r="K68" s="472"/>
      <c r="L68" s="473"/>
      <c r="M68" s="65" t="str">
        <f>IF(G68="", "", IFERROR(IF(G68="Mat", BDI!C$31, IF(G68="MO", BDI!C$17)), ""))</f>
        <v/>
      </c>
      <c r="N68" s="29"/>
      <c r="O68" s="66"/>
      <c r="P68" s="30">
        <f>P69++P115+P117+P120+P122+P124+P126+P129</f>
        <v>200801.90518619999</v>
      </c>
    </row>
    <row r="69" spans="2:16">
      <c r="B69" s="480" t="s">
        <v>233</v>
      </c>
      <c r="C69" s="487"/>
      <c r="D69" s="487"/>
      <c r="E69" s="480" t="s">
        <v>234</v>
      </c>
      <c r="F69" s="487"/>
      <c r="G69" s="21"/>
      <c r="H69" s="21"/>
      <c r="I69" s="21"/>
      <c r="J69" s="57" t="s">
        <v>28</v>
      </c>
      <c r="K69" s="467" t="str">
        <f>[2]REF_TAB_PREÇOS_SANEPAR!I1330</f>
        <v/>
      </c>
      <c r="L69" s="471"/>
      <c r="M69" s="58" t="str">
        <f>IF(G69="", "", IFERROR(IF(G69="Mat", BDI!C$31, IF(G69="MO", BDI!C$17)), ""))</f>
        <v/>
      </c>
      <c r="N69" s="23"/>
      <c r="O69" s="59"/>
      <c r="P69" s="24">
        <f>SUM(P70:P114)</f>
        <v>193768.20773719999</v>
      </c>
    </row>
    <row r="70" spans="2:16">
      <c r="B70" s="476" t="s">
        <v>357</v>
      </c>
      <c r="C70" s="476"/>
      <c r="D70" s="476"/>
      <c r="E70" s="466" t="s">
        <v>319</v>
      </c>
      <c r="F70" s="466"/>
      <c r="G70" s="60" t="s">
        <v>39</v>
      </c>
      <c r="H70" s="25" t="s">
        <v>308</v>
      </c>
      <c r="I70" s="25" t="s">
        <v>311</v>
      </c>
      <c r="J70" s="60" t="s">
        <v>31</v>
      </c>
      <c r="K70" s="465">
        <v>329.64800000000002</v>
      </c>
      <c r="L70" s="465"/>
      <c r="M70" s="61">
        <f>IF(G70="", "", IFERROR(IF(G70="Mat", BDI!C$31, IF(G70="MO", BDI!C$17)), ""))</f>
        <v>0.12989999999999999</v>
      </c>
      <c r="N70" s="26">
        <f t="shared" ref="N70:N111" si="6">IF(K70="","",K70*(1+M70))</f>
        <v>372.46927519999997</v>
      </c>
      <c r="O70" s="62">
        <f t="shared" ref="O70:O111" si="7">K70*I70</f>
        <v>329.64800000000002</v>
      </c>
      <c r="P70" s="27">
        <f t="shared" ref="P70:P111" si="8">N70*I70</f>
        <v>372.46927519999997</v>
      </c>
    </row>
    <row r="71" spans="2:16">
      <c r="B71" s="476" t="s">
        <v>358</v>
      </c>
      <c r="C71" s="476"/>
      <c r="D71" s="476"/>
      <c r="E71" s="466" t="s">
        <v>320</v>
      </c>
      <c r="F71" s="466"/>
      <c r="G71" s="60" t="s">
        <v>39</v>
      </c>
      <c r="H71" s="25" t="s">
        <v>308</v>
      </c>
      <c r="I71" s="25" t="s">
        <v>311</v>
      </c>
      <c r="J71" s="60" t="s">
        <v>31</v>
      </c>
      <c r="K71" s="465">
        <v>1</v>
      </c>
      <c r="L71" s="465"/>
      <c r="M71" s="61">
        <f>IF(G71="", "", IFERROR(IF(G71="Mat", BDI!C$31, IF(G71="MO", BDI!C$17)), ""))</f>
        <v>0.12989999999999999</v>
      </c>
      <c r="N71" s="26">
        <f t="shared" si="6"/>
        <v>1.1298999999999999</v>
      </c>
      <c r="O71" s="62">
        <f t="shared" si="7"/>
        <v>1</v>
      </c>
      <c r="P71" s="27">
        <f t="shared" si="8"/>
        <v>1.1298999999999999</v>
      </c>
    </row>
    <row r="72" spans="2:16">
      <c r="B72" s="476" t="s">
        <v>359</v>
      </c>
      <c r="C72" s="476"/>
      <c r="D72" s="476"/>
      <c r="E72" s="466" t="s">
        <v>321</v>
      </c>
      <c r="F72" s="466"/>
      <c r="G72" s="60" t="s">
        <v>39</v>
      </c>
      <c r="H72" s="25" t="s">
        <v>308</v>
      </c>
      <c r="I72" s="25" t="s">
        <v>315</v>
      </c>
      <c r="J72" s="60" t="s">
        <v>31</v>
      </c>
      <c r="K72" s="465">
        <v>1</v>
      </c>
      <c r="L72" s="465"/>
      <c r="M72" s="61">
        <f>IF(G72="", "", IFERROR(IF(G72="Mat", BDI!C$31, IF(G72="MO", BDI!C$17)), ""))</f>
        <v>0.12989999999999999</v>
      </c>
      <c r="N72" s="26">
        <f t="shared" si="6"/>
        <v>1.1298999999999999</v>
      </c>
      <c r="O72" s="62">
        <f t="shared" si="7"/>
        <v>5</v>
      </c>
      <c r="P72" s="27">
        <f t="shared" si="8"/>
        <v>5.6494999999999997</v>
      </c>
    </row>
    <row r="73" spans="2:16">
      <c r="B73" s="476" t="s">
        <v>360</v>
      </c>
      <c r="C73" s="476"/>
      <c r="D73" s="476"/>
      <c r="E73" s="466" t="s">
        <v>322</v>
      </c>
      <c r="F73" s="466"/>
      <c r="G73" s="60" t="s">
        <v>39</v>
      </c>
      <c r="H73" s="25" t="s">
        <v>308</v>
      </c>
      <c r="I73" s="25" t="s">
        <v>311</v>
      </c>
      <c r="J73" s="60" t="s">
        <v>31</v>
      </c>
      <c r="K73" s="465">
        <v>1</v>
      </c>
      <c r="L73" s="465"/>
      <c r="M73" s="61">
        <f>IF(G73="", "", IFERROR(IF(G73="Mat", BDI!C$31, IF(G73="MO", BDI!C$17)), ""))</f>
        <v>0.12989999999999999</v>
      </c>
      <c r="N73" s="26">
        <f t="shared" si="6"/>
        <v>1.1298999999999999</v>
      </c>
      <c r="O73" s="62">
        <f t="shared" si="7"/>
        <v>1</v>
      </c>
      <c r="P73" s="27">
        <f t="shared" si="8"/>
        <v>1.1298999999999999</v>
      </c>
    </row>
    <row r="74" spans="2:16">
      <c r="B74" s="476" t="s">
        <v>361</v>
      </c>
      <c r="C74" s="476"/>
      <c r="D74" s="476"/>
      <c r="E74" s="466" t="s">
        <v>323</v>
      </c>
      <c r="F74" s="466"/>
      <c r="G74" s="60" t="s">
        <v>39</v>
      </c>
      <c r="H74" s="25" t="s">
        <v>308</v>
      </c>
      <c r="I74" s="25" t="s">
        <v>311</v>
      </c>
      <c r="J74" s="60" t="s">
        <v>31</v>
      </c>
      <c r="K74" s="465">
        <v>1</v>
      </c>
      <c r="L74" s="465"/>
      <c r="M74" s="61">
        <f>IF(G74="", "", IFERROR(IF(G74="Mat", BDI!C$31, IF(G74="MO", BDI!C$17)), ""))</f>
        <v>0.12989999999999999</v>
      </c>
      <c r="N74" s="26">
        <f t="shared" si="6"/>
        <v>1.1298999999999999</v>
      </c>
      <c r="O74" s="62">
        <f t="shared" si="7"/>
        <v>1</v>
      </c>
      <c r="P74" s="27">
        <f t="shared" si="8"/>
        <v>1.1298999999999999</v>
      </c>
    </row>
    <row r="75" spans="2:16">
      <c r="B75" s="476" t="s">
        <v>362</v>
      </c>
      <c r="C75" s="476"/>
      <c r="D75" s="476"/>
      <c r="E75" s="466" t="s">
        <v>324</v>
      </c>
      <c r="F75" s="466"/>
      <c r="G75" s="60" t="s">
        <v>39</v>
      </c>
      <c r="H75" s="25" t="s">
        <v>308</v>
      </c>
      <c r="I75" s="25" t="s">
        <v>311</v>
      </c>
      <c r="J75" s="60" t="s">
        <v>31</v>
      </c>
      <c r="K75" s="465">
        <v>1</v>
      </c>
      <c r="L75" s="465"/>
      <c r="M75" s="61">
        <f>IF(G75="", "", IFERROR(IF(G75="Mat", BDI!C$31, IF(G75="MO", BDI!C$17)), ""))</f>
        <v>0.12989999999999999</v>
      </c>
      <c r="N75" s="26">
        <f t="shared" si="6"/>
        <v>1.1298999999999999</v>
      </c>
      <c r="O75" s="62">
        <f t="shared" si="7"/>
        <v>1</v>
      </c>
      <c r="P75" s="27">
        <f t="shared" si="8"/>
        <v>1.1298999999999999</v>
      </c>
    </row>
    <row r="76" spans="2:16">
      <c r="B76" s="476" t="s">
        <v>363</v>
      </c>
      <c r="C76" s="476"/>
      <c r="D76" s="476"/>
      <c r="E76" s="466" t="s">
        <v>325</v>
      </c>
      <c r="F76" s="466"/>
      <c r="G76" s="60" t="s">
        <v>39</v>
      </c>
      <c r="H76" s="25" t="s">
        <v>308</v>
      </c>
      <c r="I76" s="25" t="s">
        <v>311</v>
      </c>
      <c r="J76" s="60" t="s">
        <v>31</v>
      </c>
      <c r="K76" s="465">
        <v>12763.8</v>
      </c>
      <c r="L76" s="465"/>
      <c r="M76" s="61">
        <f>IF(G76="", "", IFERROR(IF(G76="Mat", BDI!C$31, IF(G76="MO", BDI!C$17)), ""))</f>
        <v>0.12989999999999999</v>
      </c>
      <c r="N76" s="26">
        <f t="shared" si="6"/>
        <v>14421.817619999998</v>
      </c>
      <c r="O76" s="62">
        <f t="shared" si="7"/>
        <v>12763.8</v>
      </c>
      <c r="P76" s="27">
        <f t="shared" si="8"/>
        <v>14421.817619999998</v>
      </c>
    </row>
    <row r="77" spans="2:16">
      <c r="B77" s="476" t="s">
        <v>364</v>
      </c>
      <c r="C77" s="476"/>
      <c r="D77" s="476"/>
      <c r="E77" s="466" t="s">
        <v>326</v>
      </c>
      <c r="F77" s="466"/>
      <c r="G77" s="60" t="s">
        <v>39</v>
      </c>
      <c r="H77" s="25" t="s">
        <v>308</v>
      </c>
      <c r="I77" s="25" t="s">
        <v>311</v>
      </c>
      <c r="J77" s="60" t="s">
        <v>31</v>
      </c>
      <c r="K77" s="465">
        <v>1</v>
      </c>
      <c r="L77" s="465"/>
      <c r="M77" s="61">
        <f>IF(G77="", "", IFERROR(IF(G77="Mat", BDI!C$31, IF(G77="MO", BDI!C$17)), ""))</f>
        <v>0.12989999999999999</v>
      </c>
      <c r="N77" s="26">
        <f t="shared" si="6"/>
        <v>1.1298999999999999</v>
      </c>
      <c r="O77" s="62">
        <f t="shared" si="7"/>
        <v>1</v>
      </c>
      <c r="P77" s="27">
        <f t="shared" si="8"/>
        <v>1.1298999999999999</v>
      </c>
    </row>
    <row r="78" spans="2:16">
      <c r="B78" s="476" t="s">
        <v>365</v>
      </c>
      <c r="C78" s="476"/>
      <c r="D78" s="476"/>
      <c r="E78" s="466" t="s">
        <v>356</v>
      </c>
      <c r="F78" s="466"/>
      <c r="G78" s="60" t="s">
        <v>39</v>
      </c>
      <c r="H78" s="25" t="s">
        <v>308</v>
      </c>
      <c r="I78" s="25" t="s">
        <v>313</v>
      </c>
      <c r="J78" s="60" t="s">
        <v>31</v>
      </c>
      <c r="K78" s="465">
        <v>1</v>
      </c>
      <c r="L78" s="465"/>
      <c r="M78" s="61">
        <f>IF(G78="", "", IFERROR(IF(G78="Mat", BDI!C$31, IF(G78="MO", BDI!C$17)), ""))</f>
        <v>0.12989999999999999</v>
      </c>
      <c r="N78" s="26">
        <f t="shared" si="6"/>
        <v>1.1298999999999999</v>
      </c>
      <c r="O78" s="62">
        <f t="shared" si="7"/>
        <v>3</v>
      </c>
      <c r="P78" s="27">
        <f t="shared" si="8"/>
        <v>3.3896999999999995</v>
      </c>
    </row>
    <row r="79" spans="2:16">
      <c r="B79" s="476" t="s">
        <v>366</v>
      </c>
      <c r="C79" s="476"/>
      <c r="D79" s="476"/>
      <c r="E79" s="466" t="s">
        <v>324</v>
      </c>
      <c r="F79" s="466"/>
      <c r="G79" s="60" t="s">
        <v>39</v>
      </c>
      <c r="H79" s="25" t="s">
        <v>308</v>
      </c>
      <c r="I79" s="25" t="s">
        <v>312</v>
      </c>
      <c r="J79" s="60" t="s">
        <v>31</v>
      </c>
      <c r="K79" s="465">
        <v>1</v>
      </c>
      <c r="L79" s="465"/>
      <c r="M79" s="61">
        <f>IF(G79="", "", IFERROR(IF(G79="Mat", BDI!C$31, IF(G79="MO", BDI!C$17)), ""))</f>
        <v>0.12989999999999999</v>
      </c>
      <c r="N79" s="26">
        <f t="shared" si="6"/>
        <v>1.1298999999999999</v>
      </c>
      <c r="O79" s="62">
        <f t="shared" si="7"/>
        <v>2</v>
      </c>
      <c r="P79" s="27">
        <f t="shared" si="8"/>
        <v>2.2597999999999998</v>
      </c>
    </row>
    <row r="80" spans="2:16">
      <c r="B80" s="476" t="s">
        <v>367</v>
      </c>
      <c r="C80" s="476"/>
      <c r="D80" s="476"/>
      <c r="E80" s="466" t="s">
        <v>327</v>
      </c>
      <c r="F80" s="466"/>
      <c r="G80" s="60" t="s">
        <v>39</v>
      </c>
      <c r="H80" s="25" t="s">
        <v>308</v>
      </c>
      <c r="I80" s="25" t="s">
        <v>314</v>
      </c>
      <c r="J80" s="60" t="s">
        <v>31</v>
      </c>
      <c r="K80" s="465">
        <v>2000.78</v>
      </c>
      <c r="L80" s="465"/>
      <c r="M80" s="61">
        <f>IF(G80="", "", IFERROR(IF(G80="Mat", BDI!C$31, IF(G80="MO", BDI!C$17)), ""))</f>
        <v>0.12989999999999999</v>
      </c>
      <c r="N80" s="26">
        <f t="shared" si="6"/>
        <v>2260.6813219999999</v>
      </c>
      <c r="O80" s="62">
        <f t="shared" si="7"/>
        <v>8003.12</v>
      </c>
      <c r="P80" s="27">
        <f t="shared" si="8"/>
        <v>9042.7252879999996</v>
      </c>
    </row>
    <row r="81" spans="2:16">
      <c r="B81" s="476" t="s">
        <v>368</v>
      </c>
      <c r="C81" s="476"/>
      <c r="D81" s="476"/>
      <c r="E81" s="466" t="s">
        <v>328</v>
      </c>
      <c r="F81" s="466"/>
      <c r="G81" s="60" t="s">
        <v>39</v>
      </c>
      <c r="H81" s="25" t="s">
        <v>308</v>
      </c>
      <c r="I81" s="25" t="s">
        <v>312</v>
      </c>
      <c r="J81" s="60" t="s">
        <v>31</v>
      </c>
      <c r="K81" s="465">
        <v>1</v>
      </c>
      <c r="L81" s="465"/>
      <c r="M81" s="61">
        <f>IF(G81="", "", IFERROR(IF(G81="Mat", BDI!C$31, IF(G81="MO", BDI!C$17)), ""))</f>
        <v>0.12989999999999999</v>
      </c>
      <c r="N81" s="26">
        <f t="shared" si="6"/>
        <v>1.1298999999999999</v>
      </c>
      <c r="O81" s="62">
        <f t="shared" si="7"/>
        <v>2</v>
      </c>
      <c r="P81" s="27">
        <f t="shared" si="8"/>
        <v>2.2597999999999998</v>
      </c>
    </row>
    <row r="82" spans="2:16">
      <c r="B82" s="476" t="s">
        <v>369</v>
      </c>
      <c r="C82" s="476"/>
      <c r="D82" s="476"/>
      <c r="E82" s="466" t="s">
        <v>329</v>
      </c>
      <c r="F82" s="466"/>
      <c r="G82" s="60" t="s">
        <v>39</v>
      </c>
      <c r="H82" s="25" t="s">
        <v>308</v>
      </c>
      <c r="I82" s="25" t="s">
        <v>312</v>
      </c>
      <c r="J82" s="60" t="s">
        <v>31</v>
      </c>
      <c r="K82" s="465">
        <v>1</v>
      </c>
      <c r="L82" s="465"/>
      <c r="M82" s="61">
        <f>IF(G82="", "", IFERROR(IF(G82="Mat", BDI!C$31, IF(G82="MO", BDI!C$17)), ""))</f>
        <v>0.12989999999999999</v>
      </c>
      <c r="N82" s="26">
        <f t="shared" si="6"/>
        <v>1.1298999999999999</v>
      </c>
      <c r="O82" s="62">
        <f t="shared" si="7"/>
        <v>2</v>
      </c>
      <c r="P82" s="27">
        <f t="shared" si="8"/>
        <v>2.2597999999999998</v>
      </c>
    </row>
    <row r="83" spans="2:16">
      <c r="B83" s="476" t="s">
        <v>370</v>
      </c>
      <c r="C83" s="476"/>
      <c r="D83" s="476"/>
      <c r="E83" s="466" t="s">
        <v>330</v>
      </c>
      <c r="F83" s="466"/>
      <c r="G83" s="60" t="s">
        <v>39</v>
      </c>
      <c r="H83" s="25" t="s">
        <v>308</v>
      </c>
      <c r="I83" s="25" t="s">
        <v>313</v>
      </c>
      <c r="J83" s="60" t="s">
        <v>31</v>
      </c>
      <c r="K83" s="465">
        <v>1</v>
      </c>
      <c r="L83" s="465"/>
      <c r="M83" s="61">
        <f>IF(G83="", "", IFERROR(IF(G83="Mat", BDI!C$31, IF(G83="MO", BDI!C$17)), ""))</f>
        <v>0.12989999999999999</v>
      </c>
      <c r="N83" s="26">
        <f t="shared" si="6"/>
        <v>1.1298999999999999</v>
      </c>
      <c r="O83" s="62">
        <f t="shared" si="7"/>
        <v>3</v>
      </c>
      <c r="P83" s="27">
        <f t="shared" si="8"/>
        <v>3.3896999999999995</v>
      </c>
    </row>
    <row r="84" spans="2:16">
      <c r="B84" s="476" t="s">
        <v>371</v>
      </c>
      <c r="C84" s="476"/>
      <c r="D84" s="476"/>
      <c r="E84" s="466" t="s">
        <v>331</v>
      </c>
      <c r="F84" s="466"/>
      <c r="G84" s="60" t="s">
        <v>39</v>
      </c>
      <c r="H84" s="25" t="s">
        <v>308</v>
      </c>
      <c r="I84" s="25" t="s">
        <v>311</v>
      </c>
      <c r="J84" s="60" t="s">
        <v>31</v>
      </c>
      <c r="K84" s="465">
        <v>1</v>
      </c>
      <c r="L84" s="465"/>
      <c r="M84" s="61">
        <f>IF(G84="", "", IFERROR(IF(G84="Mat", BDI!C$31, IF(G84="MO", BDI!C$17)), ""))</f>
        <v>0.12989999999999999</v>
      </c>
      <c r="N84" s="26">
        <f t="shared" si="6"/>
        <v>1.1298999999999999</v>
      </c>
      <c r="O84" s="62">
        <f t="shared" si="7"/>
        <v>1</v>
      </c>
      <c r="P84" s="27">
        <f t="shared" si="8"/>
        <v>1.1298999999999999</v>
      </c>
    </row>
    <row r="85" spans="2:16">
      <c r="B85" s="476" t="s">
        <v>372</v>
      </c>
      <c r="C85" s="476"/>
      <c r="D85" s="476"/>
      <c r="E85" s="466" t="s">
        <v>332</v>
      </c>
      <c r="F85" s="466"/>
      <c r="G85" s="60" t="s">
        <v>39</v>
      </c>
      <c r="H85" s="25" t="s">
        <v>308</v>
      </c>
      <c r="I85" s="25" t="s">
        <v>312</v>
      </c>
      <c r="J85" s="60" t="s">
        <v>31</v>
      </c>
      <c r="K85" s="465">
        <v>2412.31</v>
      </c>
      <c r="L85" s="465"/>
      <c r="M85" s="61">
        <f>IF(G85="", "", IFERROR(IF(G85="Mat", BDI!C$31, IF(G85="MO", BDI!C$17)), ""))</f>
        <v>0.12989999999999999</v>
      </c>
      <c r="N85" s="26">
        <f t="shared" si="6"/>
        <v>2725.6690689999996</v>
      </c>
      <c r="O85" s="62">
        <f t="shared" si="7"/>
        <v>4824.62</v>
      </c>
      <c r="P85" s="27">
        <f t="shared" si="8"/>
        <v>5451.3381379999992</v>
      </c>
    </row>
    <row r="86" spans="2:16">
      <c r="B86" s="476" t="s">
        <v>373</v>
      </c>
      <c r="C86" s="476"/>
      <c r="D86" s="476"/>
      <c r="E86" s="466" t="s">
        <v>333</v>
      </c>
      <c r="F86" s="466"/>
      <c r="G86" s="60" t="s">
        <v>39</v>
      </c>
      <c r="H86" s="25" t="s">
        <v>308</v>
      </c>
      <c r="I86" s="25" t="s">
        <v>311</v>
      </c>
      <c r="J86" s="60" t="s">
        <v>31</v>
      </c>
      <c r="K86" s="465">
        <v>1</v>
      </c>
      <c r="L86" s="465"/>
      <c r="M86" s="61">
        <f>IF(G86="", "", IFERROR(IF(G86="Mat", BDI!C$31, IF(G86="MO", BDI!C$17)), ""))</f>
        <v>0.12989999999999999</v>
      </c>
      <c r="N86" s="26">
        <f t="shared" si="6"/>
        <v>1.1298999999999999</v>
      </c>
      <c r="O86" s="62">
        <f t="shared" si="7"/>
        <v>1</v>
      </c>
      <c r="P86" s="27">
        <f t="shared" si="8"/>
        <v>1.1298999999999999</v>
      </c>
    </row>
    <row r="87" spans="2:16">
      <c r="B87" s="476" t="s">
        <v>374</v>
      </c>
      <c r="C87" s="476"/>
      <c r="D87" s="476"/>
      <c r="E87" s="466" t="s">
        <v>334</v>
      </c>
      <c r="F87" s="466"/>
      <c r="G87" s="60" t="s">
        <v>39</v>
      </c>
      <c r="H87" s="25" t="s">
        <v>308</v>
      </c>
      <c r="I87" s="25" t="s">
        <v>311</v>
      </c>
      <c r="J87" s="60" t="s">
        <v>31</v>
      </c>
      <c r="K87" s="465">
        <v>1</v>
      </c>
      <c r="L87" s="465"/>
      <c r="M87" s="61">
        <f>IF(G87="", "", IFERROR(IF(G87="Mat", BDI!C$31, IF(G87="MO", BDI!C$17)), ""))</f>
        <v>0.12989999999999999</v>
      </c>
      <c r="N87" s="26">
        <f t="shared" si="6"/>
        <v>1.1298999999999999</v>
      </c>
      <c r="O87" s="62">
        <f t="shared" si="7"/>
        <v>1</v>
      </c>
      <c r="P87" s="27">
        <f t="shared" si="8"/>
        <v>1.1298999999999999</v>
      </c>
    </row>
    <row r="88" spans="2:16">
      <c r="B88" s="476" t="s">
        <v>375</v>
      </c>
      <c r="C88" s="476"/>
      <c r="D88" s="476"/>
      <c r="E88" s="466" t="s">
        <v>335</v>
      </c>
      <c r="F88" s="466"/>
      <c r="G88" s="60" t="s">
        <v>39</v>
      </c>
      <c r="H88" s="25" t="s">
        <v>308</v>
      </c>
      <c r="I88" s="25" t="s">
        <v>311</v>
      </c>
      <c r="J88" s="60" t="s">
        <v>31</v>
      </c>
      <c r="K88" s="465">
        <v>1</v>
      </c>
      <c r="L88" s="465"/>
      <c r="M88" s="61">
        <f>IF(G88="", "", IFERROR(IF(G88="Mat", BDI!C$31, IF(G88="MO", BDI!C$17)), ""))</f>
        <v>0.12989999999999999</v>
      </c>
      <c r="N88" s="26">
        <f t="shared" si="6"/>
        <v>1.1298999999999999</v>
      </c>
      <c r="O88" s="62">
        <f t="shared" si="7"/>
        <v>1</v>
      </c>
      <c r="P88" s="27">
        <f t="shared" si="8"/>
        <v>1.1298999999999999</v>
      </c>
    </row>
    <row r="89" spans="2:16">
      <c r="B89" s="476" t="s">
        <v>376</v>
      </c>
      <c r="C89" s="476"/>
      <c r="D89" s="476"/>
      <c r="E89" s="466" t="s">
        <v>336</v>
      </c>
      <c r="F89" s="466"/>
      <c r="G89" s="60" t="s">
        <v>39</v>
      </c>
      <c r="H89" s="25" t="s">
        <v>308</v>
      </c>
      <c r="I89" s="25" t="s">
        <v>311</v>
      </c>
      <c r="J89" s="60" t="s">
        <v>31</v>
      </c>
      <c r="K89" s="465">
        <v>1</v>
      </c>
      <c r="L89" s="465"/>
      <c r="M89" s="61">
        <f>IF(G89="", "", IFERROR(IF(G89="Mat", BDI!C$31, IF(G89="MO", BDI!C$17)), ""))</f>
        <v>0.12989999999999999</v>
      </c>
      <c r="N89" s="26">
        <f t="shared" si="6"/>
        <v>1.1298999999999999</v>
      </c>
      <c r="O89" s="62">
        <f t="shared" si="7"/>
        <v>1</v>
      </c>
      <c r="P89" s="27">
        <f t="shared" si="8"/>
        <v>1.1298999999999999</v>
      </c>
    </row>
    <row r="90" spans="2:16">
      <c r="B90" s="476" t="s">
        <v>377</v>
      </c>
      <c r="C90" s="476"/>
      <c r="D90" s="476"/>
      <c r="E90" s="466" t="s">
        <v>337</v>
      </c>
      <c r="F90" s="466"/>
      <c r="G90" s="60" t="s">
        <v>39</v>
      </c>
      <c r="H90" s="25" t="s">
        <v>308</v>
      </c>
      <c r="I90" s="25" t="s">
        <v>311</v>
      </c>
      <c r="J90" s="60" t="s">
        <v>316</v>
      </c>
      <c r="K90" s="465">
        <v>1</v>
      </c>
      <c r="L90" s="465"/>
      <c r="M90" s="61">
        <f>IF(G90="", "", IFERROR(IF(G90="Mat", BDI!C$31, IF(G90="MO", BDI!C$17)), ""))</f>
        <v>0.12989999999999999</v>
      </c>
      <c r="N90" s="26">
        <f t="shared" si="6"/>
        <v>1.1298999999999999</v>
      </c>
      <c r="O90" s="62">
        <f t="shared" si="7"/>
        <v>1</v>
      </c>
      <c r="P90" s="27">
        <f t="shared" si="8"/>
        <v>1.1298999999999999</v>
      </c>
    </row>
    <row r="91" spans="2:16">
      <c r="B91" s="476" t="s">
        <v>378</v>
      </c>
      <c r="C91" s="476"/>
      <c r="D91" s="476"/>
      <c r="E91" s="466" t="s">
        <v>338</v>
      </c>
      <c r="F91" s="466"/>
      <c r="G91" s="60" t="s">
        <v>39</v>
      </c>
      <c r="H91" s="25" t="s">
        <v>308</v>
      </c>
      <c r="I91" s="25" t="s">
        <v>311</v>
      </c>
      <c r="J91" s="60" t="s">
        <v>31</v>
      </c>
      <c r="K91" s="465">
        <v>1</v>
      </c>
      <c r="L91" s="465"/>
      <c r="M91" s="61">
        <f>IF(G91="", "", IFERROR(IF(G91="Mat", BDI!C$31, IF(G91="MO", BDI!C$17)), ""))</f>
        <v>0.12989999999999999</v>
      </c>
      <c r="N91" s="26">
        <f t="shared" si="6"/>
        <v>1.1298999999999999</v>
      </c>
      <c r="O91" s="62">
        <f t="shared" si="7"/>
        <v>1</v>
      </c>
      <c r="P91" s="27">
        <f t="shared" si="8"/>
        <v>1.1298999999999999</v>
      </c>
    </row>
    <row r="92" spans="2:16">
      <c r="B92" s="476" t="s">
        <v>379</v>
      </c>
      <c r="C92" s="476"/>
      <c r="D92" s="476"/>
      <c r="E92" s="466" t="s">
        <v>339</v>
      </c>
      <c r="F92" s="466"/>
      <c r="G92" s="60" t="s">
        <v>39</v>
      </c>
      <c r="H92" s="25" t="s">
        <v>308</v>
      </c>
      <c r="I92" s="25" t="s">
        <v>312</v>
      </c>
      <c r="J92" s="60" t="s">
        <v>31</v>
      </c>
      <c r="K92" s="465">
        <v>1</v>
      </c>
      <c r="L92" s="465"/>
      <c r="M92" s="61">
        <f>IF(G92="", "", IFERROR(IF(G92="Mat", BDI!C$31, IF(G92="MO", BDI!C$17)), ""))</f>
        <v>0.12989999999999999</v>
      </c>
      <c r="N92" s="26">
        <f t="shared" si="6"/>
        <v>1.1298999999999999</v>
      </c>
      <c r="O92" s="62">
        <f t="shared" si="7"/>
        <v>2</v>
      </c>
      <c r="P92" s="27">
        <f t="shared" si="8"/>
        <v>2.2597999999999998</v>
      </c>
    </row>
    <row r="93" spans="2:16">
      <c r="B93" s="476" t="s">
        <v>380</v>
      </c>
      <c r="C93" s="476"/>
      <c r="D93" s="476"/>
      <c r="E93" s="466" t="s">
        <v>340</v>
      </c>
      <c r="F93" s="466"/>
      <c r="G93" s="60" t="s">
        <v>39</v>
      </c>
      <c r="H93" s="25" t="s">
        <v>308</v>
      </c>
      <c r="I93" s="25" t="s">
        <v>311</v>
      </c>
      <c r="J93" s="60" t="s">
        <v>31</v>
      </c>
      <c r="K93" s="465">
        <v>1</v>
      </c>
      <c r="L93" s="465"/>
      <c r="M93" s="61">
        <f>IF(G93="", "", IFERROR(IF(G93="Mat", BDI!C$31, IF(G93="MO", BDI!C$17)), ""))</f>
        <v>0.12989999999999999</v>
      </c>
      <c r="N93" s="26">
        <f t="shared" si="6"/>
        <v>1.1298999999999999</v>
      </c>
      <c r="O93" s="62">
        <f t="shared" si="7"/>
        <v>1</v>
      </c>
      <c r="P93" s="27">
        <f t="shared" si="8"/>
        <v>1.1298999999999999</v>
      </c>
    </row>
    <row r="94" spans="2:16">
      <c r="B94" s="476" t="s">
        <v>381</v>
      </c>
      <c r="C94" s="476"/>
      <c r="D94" s="476"/>
      <c r="E94" s="466" t="s">
        <v>341</v>
      </c>
      <c r="F94" s="466"/>
      <c r="G94" s="60" t="s">
        <v>39</v>
      </c>
      <c r="H94" s="25" t="s">
        <v>308</v>
      </c>
      <c r="I94" s="25" t="s">
        <v>311</v>
      </c>
      <c r="J94" s="60" t="s">
        <v>316</v>
      </c>
      <c r="K94" s="465">
        <v>1</v>
      </c>
      <c r="L94" s="465"/>
      <c r="M94" s="61">
        <f>IF(G94="", "", IFERROR(IF(G94="Mat", BDI!C$31, IF(G94="MO", BDI!C$17)), ""))</f>
        <v>0.12989999999999999</v>
      </c>
      <c r="N94" s="26">
        <f t="shared" si="6"/>
        <v>1.1298999999999999</v>
      </c>
      <c r="O94" s="62">
        <f t="shared" si="7"/>
        <v>1</v>
      </c>
      <c r="P94" s="27">
        <f t="shared" si="8"/>
        <v>1.1298999999999999</v>
      </c>
    </row>
    <row r="95" spans="2:16">
      <c r="B95" s="476" t="s">
        <v>382</v>
      </c>
      <c r="C95" s="476"/>
      <c r="D95" s="476"/>
      <c r="E95" s="466" t="s">
        <v>342</v>
      </c>
      <c r="F95" s="466"/>
      <c r="G95" s="60" t="s">
        <v>39</v>
      </c>
      <c r="H95" s="25" t="s">
        <v>308</v>
      </c>
      <c r="I95" s="25" t="s">
        <v>312</v>
      </c>
      <c r="J95" s="60" t="s">
        <v>31</v>
      </c>
      <c r="K95" s="465">
        <v>1</v>
      </c>
      <c r="L95" s="465"/>
      <c r="M95" s="61">
        <f>IF(G95="", "", IFERROR(IF(G95="Mat", BDI!C$31, IF(G95="MO", BDI!C$17)), ""))</f>
        <v>0.12989999999999999</v>
      </c>
      <c r="N95" s="26">
        <f t="shared" si="6"/>
        <v>1.1298999999999999</v>
      </c>
      <c r="O95" s="62">
        <f t="shared" si="7"/>
        <v>2</v>
      </c>
      <c r="P95" s="27">
        <f t="shared" si="8"/>
        <v>2.2597999999999998</v>
      </c>
    </row>
    <row r="96" spans="2:16">
      <c r="B96" s="476" t="s">
        <v>383</v>
      </c>
      <c r="C96" s="476"/>
      <c r="D96" s="476"/>
      <c r="E96" s="466" t="s">
        <v>343</v>
      </c>
      <c r="F96" s="466"/>
      <c r="G96" s="60" t="s">
        <v>39</v>
      </c>
      <c r="H96" s="25" t="s">
        <v>308</v>
      </c>
      <c r="I96" s="25" t="s">
        <v>312</v>
      </c>
      <c r="J96" s="60" t="s">
        <v>316</v>
      </c>
      <c r="K96" s="465">
        <f>143780.8/2</f>
        <v>71890.399999999994</v>
      </c>
      <c r="L96" s="465"/>
      <c r="M96" s="61">
        <f>IF(G96="", "", IFERROR(IF(G96="Mat", BDI!C$31, IF(G96="MO", BDI!C$17)), ""))</f>
        <v>0.12989999999999999</v>
      </c>
      <c r="N96" s="26">
        <f t="shared" si="6"/>
        <v>81228.96295999999</v>
      </c>
      <c r="O96" s="62">
        <f t="shared" si="7"/>
        <v>143780.79999999999</v>
      </c>
      <c r="P96" s="27">
        <f t="shared" si="8"/>
        <v>162457.92591999998</v>
      </c>
    </row>
    <row r="97" spans="2:16">
      <c r="B97" s="476" t="s">
        <v>384</v>
      </c>
      <c r="C97" s="476"/>
      <c r="D97" s="476"/>
      <c r="E97" s="466" t="s">
        <v>344</v>
      </c>
      <c r="F97" s="466"/>
      <c r="G97" s="60" t="s">
        <v>39</v>
      </c>
      <c r="H97" s="25" t="s">
        <v>308</v>
      </c>
      <c r="I97" s="25" t="s">
        <v>311</v>
      </c>
      <c r="J97" s="60" t="s">
        <v>31</v>
      </c>
      <c r="K97" s="465">
        <v>1</v>
      </c>
      <c r="L97" s="465"/>
      <c r="M97" s="61">
        <f>IF(G97="", "", IFERROR(IF(G97="Mat", BDI!C$31, IF(G97="MO", BDI!C$17)), ""))</f>
        <v>0.12989999999999999</v>
      </c>
      <c r="N97" s="26">
        <f t="shared" si="6"/>
        <v>1.1298999999999999</v>
      </c>
      <c r="O97" s="62">
        <f t="shared" si="7"/>
        <v>1</v>
      </c>
      <c r="P97" s="27">
        <f t="shared" si="8"/>
        <v>1.1298999999999999</v>
      </c>
    </row>
    <row r="98" spans="2:16">
      <c r="B98" s="476" t="s">
        <v>385</v>
      </c>
      <c r="C98" s="476"/>
      <c r="D98" s="476"/>
      <c r="E98" s="466" t="s">
        <v>345</v>
      </c>
      <c r="F98" s="466"/>
      <c r="G98" s="60" t="s">
        <v>39</v>
      </c>
      <c r="H98" s="25" t="s">
        <v>308</v>
      </c>
      <c r="I98" s="25" t="s">
        <v>312</v>
      </c>
      <c r="J98" s="60" t="s">
        <v>316</v>
      </c>
      <c r="K98" s="465">
        <v>1</v>
      </c>
      <c r="L98" s="465"/>
      <c r="M98" s="61">
        <f>IF(G98="", "", IFERROR(IF(G98="Mat", BDI!C$31, IF(G98="MO", BDI!C$17)), ""))</f>
        <v>0.12989999999999999</v>
      </c>
      <c r="N98" s="26">
        <f t="shared" si="6"/>
        <v>1.1298999999999999</v>
      </c>
      <c r="O98" s="62">
        <f t="shared" si="7"/>
        <v>2</v>
      </c>
      <c r="P98" s="27">
        <f t="shared" si="8"/>
        <v>2.2597999999999998</v>
      </c>
    </row>
    <row r="99" spans="2:16">
      <c r="B99" s="476" t="s">
        <v>386</v>
      </c>
      <c r="C99" s="476"/>
      <c r="D99" s="476"/>
      <c r="E99" s="466" t="s">
        <v>346</v>
      </c>
      <c r="F99" s="466"/>
      <c r="G99" s="60" t="s">
        <v>39</v>
      </c>
      <c r="H99" s="25" t="s">
        <v>308</v>
      </c>
      <c r="I99" s="25" t="s">
        <v>311</v>
      </c>
      <c r="J99" s="60" t="s">
        <v>31</v>
      </c>
      <c r="K99" s="465">
        <v>1</v>
      </c>
      <c r="L99" s="465"/>
      <c r="M99" s="61">
        <f>IF(G99="", "", IFERROR(IF(G99="Mat", BDI!C$31, IF(G99="MO", BDI!C$17)), ""))</f>
        <v>0.12989999999999999</v>
      </c>
      <c r="N99" s="26">
        <f t="shared" si="6"/>
        <v>1.1298999999999999</v>
      </c>
      <c r="O99" s="62">
        <f t="shared" si="7"/>
        <v>1</v>
      </c>
      <c r="P99" s="27">
        <f t="shared" si="8"/>
        <v>1.1298999999999999</v>
      </c>
    </row>
    <row r="100" spans="2:16">
      <c r="B100" s="476" t="s">
        <v>387</v>
      </c>
      <c r="C100" s="476"/>
      <c r="D100" s="476"/>
      <c r="E100" s="466" t="s">
        <v>498</v>
      </c>
      <c r="F100" s="466"/>
      <c r="G100" s="60" t="s">
        <v>39</v>
      </c>
      <c r="H100" s="25" t="s">
        <v>308</v>
      </c>
      <c r="I100" s="25" t="s">
        <v>311</v>
      </c>
      <c r="J100" s="60" t="s">
        <v>31</v>
      </c>
      <c r="K100" s="465">
        <v>1</v>
      </c>
      <c r="L100" s="465"/>
      <c r="M100" s="61">
        <f>IF(G100="", "", IFERROR(IF(G100="Mat", BDI!C$31, IF(G100="MO", BDI!C$17)), ""))</f>
        <v>0.12989999999999999</v>
      </c>
      <c r="N100" s="26">
        <f t="shared" si="6"/>
        <v>1.1298999999999999</v>
      </c>
      <c r="O100" s="62">
        <f t="shared" si="7"/>
        <v>1</v>
      </c>
      <c r="P100" s="27">
        <f t="shared" si="8"/>
        <v>1.1298999999999999</v>
      </c>
    </row>
    <row r="101" spans="2:16">
      <c r="B101" s="476" t="s">
        <v>388</v>
      </c>
      <c r="C101" s="476"/>
      <c r="D101" s="476"/>
      <c r="E101" s="466" t="s">
        <v>347</v>
      </c>
      <c r="F101" s="466"/>
      <c r="G101" s="60" t="s">
        <v>39</v>
      </c>
      <c r="H101" s="25" t="s">
        <v>308</v>
      </c>
      <c r="I101" s="25" t="s">
        <v>311</v>
      </c>
      <c r="J101" s="60" t="s">
        <v>31</v>
      </c>
      <c r="K101" s="465">
        <v>1</v>
      </c>
      <c r="L101" s="465"/>
      <c r="M101" s="61">
        <f>IF(G101="", "", IFERROR(IF(G101="Mat", BDI!C$31, IF(G101="MO", BDI!C$17)), ""))</f>
        <v>0.12989999999999999</v>
      </c>
      <c r="N101" s="26">
        <f t="shared" si="6"/>
        <v>1.1298999999999999</v>
      </c>
      <c r="O101" s="62">
        <f t="shared" si="7"/>
        <v>1</v>
      </c>
      <c r="P101" s="27">
        <f t="shared" si="8"/>
        <v>1.1298999999999999</v>
      </c>
    </row>
    <row r="102" spans="2:16">
      <c r="B102" s="476" t="s">
        <v>389</v>
      </c>
      <c r="C102" s="476"/>
      <c r="D102" s="476"/>
      <c r="E102" s="466" t="s">
        <v>348</v>
      </c>
      <c r="F102" s="466"/>
      <c r="G102" s="60" t="s">
        <v>39</v>
      </c>
      <c r="H102" s="25" t="s">
        <v>308</v>
      </c>
      <c r="I102" s="25" t="s">
        <v>315</v>
      </c>
      <c r="J102" s="60" t="s">
        <v>31</v>
      </c>
      <c r="K102" s="465">
        <v>1</v>
      </c>
      <c r="L102" s="465"/>
      <c r="M102" s="61">
        <f>IF(G102="", "", IFERROR(IF(G102="Mat", BDI!C$31, IF(G102="MO", BDI!C$17)), ""))</f>
        <v>0.12989999999999999</v>
      </c>
      <c r="N102" s="26">
        <f t="shared" si="6"/>
        <v>1.1298999999999999</v>
      </c>
      <c r="O102" s="62">
        <f t="shared" si="7"/>
        <v>5</v>
      </c>
      <c r="P102" s="27">
        <f t="shared" si="8"/>
        <v>5.6494999999999997</v>
      </c>
    </row>
    <row r="103" spans="2:16">
      <c r="B103" s="476" t="s">
        <v>390</v>
      </c>
      <c r="C103" s="476"/>
      <c r="D103" s="476"/>
      <c r="E103" s="466" t="s">
        <v>349</v>
      </c>
      <c r="F103" s="466"/>
      <c r="G103" s="60" t="s">
        <v>39</v>
      </c>
      <c r="H103" s="25" t="s">
        <v>308</v>
      </c>
      <c r="I103" s="25" t="s">
        <v>312</v>
      </c>
      <c r="J103" s="60" t="s">
        <v>31</v>
      </c>
      <c r="K103" s="465">
        <v>1</v>
      </c>
      <c r="L103" s="465"/>
      <c r="M103" s="61">
        <f>IF(G103="", "", IFERROR(IF(G103="Mat", BDI!C$31, IF(G103="MO", BDI!C$17)), ""))</f>
        <v>0.12989999999999999</v>
      </c>
      <c r="N103" s="26">
        <f t="shared" si="6"/>
        <v>1.1298999999999999</v>
      </c>
      <c r="O103" s="62">
        <f t="shared" si="7"/>
        <v>2</v>
      </c>
      <c r="P103" s="27">
        <f t="shared" si="8"/>
        <v>2.2597999999999998</v>
      </c>
    </row>
    <row r="104" spans="2:16">
      <c r="B104" s="476" t="s">
        <v>391</v>
      </c>
      <c r="C104" s="476"/>
      <c r="D104" s="476"/>
      <c r="E104" s="466" t="s">
        <v>350</v>
      </c>
      <c r="F104" s="466"/>
      <c r="G104" s="60" t="s">
        <v>39</v>
      </c>
      <c r="H104" s="25" t="s">
        <v>308</v>
      </c>
      <c r="I104" s="25" t="s">
        <v>311</v>
      </c>
      <c r="J104" s="60" t="s">
        <v>316</v>
      </c>
      <c r="K104" s="465">
        <v>1</v>
      </c>
      <c r="L104" s="465"/>
      <c r="M104" s="61">
        <f>IF(G104="", "", IFERROR(IF(G104="Mat", BDI!C$31, IF(G104="MO", BDI!C$17)), ""))</f>
        <v>0.12989999999999999</v>
      </c>
      <c r="N104" s="26">
        <f t="shared" si="6"/>
        <v>1.1298999999999999</v>
      </c>
      <c r="O104" s="62">
        <f t="shared" si="7"/>
        <v>1</v>
      </c>
      <c r="P104" s="27">
        <f t="shared" si="8"/>
        <v>1.1298999999999999</v>
      </c>
    </row>
    <row r="105" spans="2:16">
      <c r="B105" s="476" t="s">
        <v>392</v>
      </c>
      <c r="C105" s="476"/>
      <c r="D105" s="476"/>
      <c r="E105" s="466" t="s">
        <v>351</v>
      </c>
      <c r="F105" s="466"/>
      <c r="G105" s="60" t="s">
        <v>39</v>
      </c>
      <c r="H105" s="25" t="s">
        <v>308</v>
      </c>
      <c r="I105" s="25" t="s">
        <v>312</v>
      </c>
      <c r="J105" s="60" t="s">
        <v>316</v>
      </c>
      <c r="K105" s="465">
        <v>1</v>
      </c>
      <c r="L105" s="465"/>
      <c r="M105" s="61">
        <f>IF(G105="", "", IFERROR(IF(G105="Mat", BDI!C$31, IF(G105="MO", BDI!C$17)), ""))</f>
        <v>0.12989999999999999</v>
      </c>
      <c r="N105" s="26">
        <f t="shared" si="6"/>
        <v>1.1298999999999999</v>
      </c>
      <c r="O105" s="62">
        <f t="shared" si="7"/>
        <v>2</v>
      </c>
      <c r="P105" s="27">
        <f t="shared" si="8"/>
        <v>2.2597999999999998</v>
      </c>
    </row>
    <row r="106" spans="2:16">
      <c r="B106" s="476" t="s">
        <v>393</v>
      </c>
      <c r="C106" s="476"/>
      <c r="D106" s="476"/>
      <c r="E106" s="466" t="s">
        <v>352</v>
      </c>
      <c r="F106" s="466"/>
      <c r="G106" s="60" t="s">
        <v>39</v>
      </c>
      <c r="H106" s="25" t="s">
        <v>308</v>
      </c>
      <c r="I106" s="25" t="s">
        <v>317</v>
      </c>
      <c r="J106" s="60" t="s">
        <v>316</v>
      </c>
      <c r="K106" s="465">
        <v>1</v>
      </c>
      <c r="L106" s="465"/>
      <c r="M106" s="61">
        <f>IF(G106="", "", IFERROR(IF(G106="Mat", BDI!C$31, IF(G106="MO", BDI!C$17)), ""))</f>
        <v>0.12989999999999999</v>
      </c>
      <c r="N106" s="26">
        <f t="shared" si="6"/>
        <v>1.1298999999999999</v>
      </c>
      <c r="O106" s="62">
        <f t="shared" si="7"/>
        <v>28</v>
      </c>
      <c r="P106" s="27">
        <f t="shared" si="8"/>
        <v>31.637199999999996</v>
      </c>
    </row>
    <row r="107" spans="2:16">
      <c r="B107" s="476" t="s">
        <v>394</v>
      </c>
      <c r="C107" s="476"/>
      <c r="D107" s="476"/>
      <c r="E107" s="466" t="s">
        <v>353</v>
      </c>
      <c r="F107" s="466"/>
      <c r="G107" s="60" t="s">
        <v>39</v>
      </c>
      <c r="H107" s="25" t="s">
        <v>308</v>
      </c>
      <c r="I107" s="25" t="s">
        <v>314</v>
      </c>
      <c r="J107" s="60" t="s">
        <v>316</v>
      </c>
      <c r="K107" s="465">
        <v>1</v>
      </c>
      <c r="L107" s="465"/>
      <c r="M107" s="61">
        <f>IF(G107="", "", IFERROR(IF(G107="Mat", BDI!C$31, IF(G107="MO", BDI!C$17)), ""))</f>
        <v>0.12989999999999999</v>
      </c>
      <c r="N107" s="26">
        <f t="shared" si="6"/>
        <v>1.1298999999999999</v>
      </c>
      <c r="O107" s="62">
        <f t="shared" si="7"/>
        <v>4</v>
      </c>
      <c r="P107" s="27">
        <f t="shared" si="8"/>
        <v>4.5195999999999996</v>
      </c>
    </row>
    <row r="108" spans="2:16">
      <c r="B108" s="476" t="s">
        <v>395</v>
      </c>
      <c r="C108" s="476"/>
      <c r="D108" s="476"/>
      <c r="E108" s="466" t="s">
        <v>354</v>
      </c>
      <c r="F108" s="466"/>
      <c r="G108" s="60" t="s">
        <v>39</v>
      </c>
      <c r="H108" s="25" t="s">
        <v>308</v>
      </c>
      <c r="I108" s="25" t="s">
        <v>311</v>
      </c>
      <c r="J108" s="60" t="s">
        <v>31</v>
      </c>
      <c r="K108" s="465">
        <v>1</v>
      </c>
      <c r="L108" s="465"/>
      <c r="M108" s="61">
        <f>IF(G108="", "", IFERROR(IF(G108="Mat", BDI!C$31, IF(G108="MO", BDI!C$17)), ""))</f>
        <v>0.12989999999999999</v>
      </c>
      <c r="N108" s="26">
        <f t="shared" si="6"/>
        <v>1.1298999999999999</v>
      </c>
      <c r="O108" s="62">
        <f t="shared" si="7"/>
        <v>1</v>
      </c>
      <c r="P108" s="27">
        <f t="shared" si="8"/>
        <v>1.1298999999999999</v>
      </c>
    </row>
    <row r="109" spans="2:16">
      <c r="B109" s="476" t="s">
        <v>396</v>
      </c>
      <c r="C109" s="476"/>
      <c r="D109" s="476"/>
      <c r="E109" s="466" t="s">
        <v>355</v>
      </c>
      <c r="F109" s="466"/>
      <c r="G109" s="60" t="s">
        <v>39</v>
      </c>
      <c r="H109" s="25" t="s">
        <v>308</v>
      </c>
      <c r="I109" s="25" t="s">
        <v>312</v>
      </c>
      <c r="J109" s="60" t="s">
        <v>31</v>
      </c>
      <c r="K109" s="465">
        <v>1</v>
      </c>
      <c r="L109" s="465"/>
      <c r="M109" s="61">
        <f>IF(G109="", "", IFERROR(IF(G109="Mat", BDI!C$31, IF(G109="MO", BDI!C$17)), ""))</f>
        <v>0.12989999999999999</v>
      </c>
      <c r="N109" s="26">
        <f t="shared" si="6"/>
        <v>1.1298999999999999</v>
      </c>
      <c r="O109" s="62">
        <f t="shared" si="7"/>
        <v>2</v>
      </c>
      <c r="P109" s="27">
        <f t="shared" si="8"/>
        <v>2.2597999999999998</v>
      </c>
    </row>
    <row r="110" spans="2:16">
      <c r="B110" s="505" t="s">
        <v>235</v>
      </c>
      <c r="C110" s="506"/>
      <c r="D110" s="506"/>
      <c r="E110" s="466" t="s">
        <v>236</v>
      </c>
      <c r="F110" s="481"/>
      <c r="G110" s="25" t="s">
        <v>29</v>
      </c>
      <c r="H110" s="25" t="s">
        <v>40</v>
      </c>
      <c r="I110" s="25">
        <v>2</v>
      </c>
      <c r="J110" s="60" t="s">
        <v>31</v>
      </c>
      <c r="K110" s="465">
        <f>[2]REF_TAB_PREÇOS_SANEPAR!I1332</f>
        <v>768.52</v>
      </c>
      <c r="L110" s="468"/>
      <c r="M110" s="61">
        <f>IF(G110="", "", IFERROR(IF(G110="Mat", BDI!C$31, IF(G110="MO", BDI!C$17)), ""))</f>
        <v>0.24490000000000001</v>
      </c>
      <c r="N110" s="26">
        <f t="shared" si="6"/>
        <v>956.73054799999989</v>
      </c>
      <c r="O110" s="62">
        <f t="shared" si="7"/>
        <v>1537.04</v>
      </c>
      <c r="P110" s="27">
        <f t="shared" si="8"/>
        <v>1913.4610959999998</v>
      </c>
    </row>
    <row r="111" spans="2:16">
      <c r="B111" s="476" t="s">
        <v>518</v>
      </c>
      <c r="C111" s="476"/>
      <c r="D111" s="476"/>
      <c r="E111" s="466" t="s">
        <v>522</v>
      </c>
      <c r="F111" s="466"/>
      <c r="G111" s="25" t="s">
        <v>39</v>
      </c>
      <c r="H111" s="25" t="s">
        <v>308</v>
      </c>
      <c r="I111" s="25">
        <v>2</v>
      </c>
      <c r="J111" s="60" t="s">
        <v>31</v>
      </c>
      <c r="K111" s="465">
        <v>1</v>
      </c>
      <c r="L111" s="465"/>
      <c r="M111" s="61">
        <f>IF(G111="", "", IFERROR(IF(G111="Mat", BDI!C$31, IF(G111="MO", BDI!C$17)), ""))</f>
        <v>0.12989999999999999</v>
      </c>
      <c r="N111" s="26">
        <f t="shared" si="6"/>
        <v>1.1298999999999999</v>
      </c>
      <c r="O111" s="62">
        <f t="shared" si="7"/>
        <v>2</v>
      </c>
      <c r="P111" s="27">
        <f t="shared" si="8"/>
        <v>2.2597999999999998</v>
      </c>
    </row>
    <row r="112" spans="2:16">
      <c r="B112" s="476" t="s">
        <v>536</v>
      </c>
      <c r="C112" s="476"/>
      <c r="D112" s="476"/>
      <c r="E112" s="528" t="s">
        <v>543</v>
      </c>
      <c r="F112" s="528"/>
      <c r="G112" s="25" t="s">
        <v>39</v>
      </c>
      <c r="H112" s="25" t="s">
        <v>308</v>
      </c>
      <c r="I112" s="25">
        <v>5</v>
      </c>
      <c r="J112" s="60" t="s">
        <v>31</v>
      </c>
      <c r="K112" s="465">
        <v>1</v>
      </c>
      <c r="L112" s="465"/>
      <c r="M112" s="61">
        <f>IF(G112="", "", IFERROR(IF(G112="Mat", BDI!C$31, IF(G112="MO", BDI!C$17)), ""))</f>
        <v>0.12989999999999999</v>
      </c>
      <c r="N112" s="26">
        <f>IF(K112="","",K112*(1+M112))</f>
        <v>1.1298999999999999</v>
      </c>
      <c r="O112" s="62">
        <f>K112*I112</f>
        <v>5</v>
      </c>
      <c r="P112" s="27">
        <f>N112*I112</f>
        <v>5.6494999999999997</v>
      </c>
    </row>
    <row r="113" spans="2:16">
      <c r="B113" s="476" t="s">
        <v>537</v>
      </c>
      <c r="C113" s="476"/>
      <c r="D113" s="476"/>
      <c r="E113" s="529" t="s">
        <v>544</v>
      </c>
      <c r="F113" s="529"/>
      <c r="G113" s="25" t="s">
        <v>39</v>
      </c>
      <c r="H113" s="25" t="s">
        <v>308</v>
      </c>
      <c r="I113" s="25">
        <v>2</v>
      </c>
      <c r="J113" s="60" t="s">
        <v>31</v>
      </c>
      <c r="K113" s="465"/>
      <c r="L113" s="465"/>
      <c r="M113" s="61">
        <f>IF(G113="", "", IFERROR(IF(G113="Mat", BDI!C$31, IF(G113="MO", BDI!C$17)), ""))</f>
        <v>0.12989999999999999</v>
      </c>
      <c r="N113" s="26" t="str">
        <f>IF(K113="","",K113*(1+M113))</f>
        <v/>
      </c>
      <c r="O113" s="62">
        <f>K113*I113</f>
        <v>0</v>
      </c>
      <c r="P113" s="27"/>
    </row>
    <row r="114" spans="2:16">
      <c r="B114" s="476" t="s">
        <v>538</v>
      </c>
      <c r="C114" s="476"/>
      <c r="D114" s="476"/>
      <c r="E114" s="528" t="s">
        <v>545</v>
      </c>
      <c r="F114" s="528"/>
      <c r="G114" s="25" t="s">
        <v>39</v>
      </c>
      <c r="H114" s="25" t="s">
        <v>308</v>
      </c>
      <c r="I114" s="25">
        <v>3</v>
      </c>
      <c r="J114" s="60" t="s">
        <v>31</v>
      </c>
      <c r="K114" s="465">
        <v>1</v>
      </c>
      <c r="L114" s="465"/>
      <c r="M114" s="61">
        <f>IF(G114="", "", IFERROR(IF(G114="Mat", BDI!C$31, IF(G114="MO", BDI!C$17)), ""))</f>
        <v>0.12989999999999999</v>
      </c>
      <c r="N114" s="26">
        <f>IF(K114="","",K114*(1+M114))</f>
        <v>1.1298999999999999</v>
      </c>
      <c r="O114" s="62">
        <f>K114*I114</f>
        <v>3</v>
      </c>
      <c r="P114" s="27">
        <f>N114*I114</f>
        <v>3.3896999999999995</v>
      </c>
    </row>
    <row r="115" spans="2:16">
      <c r="B115" s="480" t="s">
        <v>237</v>
      </c>
      <c r="C115" s="487"/>
      <c r="D115" s="487"/>
      <c r="E115" s="480" t="s">
        <v>238</v>
      </c>
      <c r="F115" s="487"/>
      <c r="G115" s="21"/>
      <c r="H115" s="21"/>
      <c r="I115" s="21"/>
      <c r="J115" s="57" t="s">
        <v>28</v>
      </c>
      <c r="K115" s="467" t="str">
        <f>[2]REF_TAB_PREÇOS_SANEPAR!I1385</f>
        <v/>
      </c>
      <c r="L115" s="471"/>
      <c r="M115" s="58" t="str">
        <f>IF(G115="", "", IFERROR(IF(G115="Mat", BDI!C$31, IF(G115="MO", BDI!C$17)), ""))</f>
        <v/>
      </c>
      <c r="N115" s="23"/>
      <c r="O115" s="59"/>
      <c r="P115" s="24">
        <f>P116</f>
        <v>1280.927406</v>
      </c>
    </row>
    <row r="116" spans="2:16">
      <c r="B116" s="505" t="s">
        <v>239</v>
      </c>
      <c r="C116" s="506"/>
      <c r="D116" s="506"/>
      <c r="E116" s="466" t="s">
        <v>240</v>
      </c>
      <c r="F116" s="481"/>
      <c r="G116" s="25" t="s">
        <v>29</v>
      </c>
      <c r="H116" s="25" t="s">
        <v>40</v>
      </c>
      <c r="I116" s="25">
        <v>1</v>
      </c>
      <c r="J116" s="60" t="s">
        <v>31</v>
      </c>
      <c r="K116" s="465">
        <f>[2]REF_TAB_PREÇOS_SANEPAR!I1395</f>
        <v>1028.94</v>
      </c>
      <c r="L116" s="468"/>
      <c r="M116" s="61">
        <f>IF(G116="", "", IFERROR(IF(G116="Mat", BDI!C$31, IF(G116="MO", BDI!C$17)), ""))</f>
        <v>0.24490000000000001</v>
      </c>
      <c r="N116" s="26">
        <f>IF(K116="","",K116*(1+M116))</f>
        <v>1280.927406</v>
      </c>
      <c r="O116" s="62">
        <f>K116*I116</f>
        <v>1028.94</v>
      </c>
      <c r="P116" s="27">
        <f>N116*I116</f>
        <v>1280.927406</v>
      </c>
    </row>
    <row r="117" spans="2:16">
      <c r="B117" s="480" t="s">
        <v>241</v>
      </c>
      <c r="C117" s="487"/>
      <c r="D117" s="487"/>
      <c r="E117" s="480" t="s">
        <v>242</v>
      </c>
      <c r="F117" s="487"/>
      <c r="G117" s="21"/>
      <c r="H117" s="21"/>
      <c r="I117" s="21"/>
      <c r="J117" s="57" t="s">
        <v>28</v>
      </c>
      <c r="K117" s="467" t="str">
        <f>[2]REF_TAB_PREÇOS_SANEPAR!I1408</f>
        <v/>
      </c>
      <c r="L117" s="471"/>
      <c r="M117" s="58" t="str">
        <f>IF(G117="", "", IFERROR(IF(G117="Mat", BDI!C$31, IF(G117="MO", BDI!C$17)), ""))</f>
        <v/>
      </c>
      <c r="N117" s="23"/>
      <c r="O117" s="59"/>
      <c r="P117" s="24">
        <f>P118+P119</f>
        <v>915.47456199999976</v>
      </c>
    </row>
    <row r="118" spans="2:16">
      <c r="B118" s="505" t="s">
        <v>243</v>
      </c>
      <c r="C118" s="506"/>
      <c r="D118" s="506"/>
      <c r="E118" s="466" t="s">
        <v>244</v>
      </c>
      <c r="F118" s="481"/>
      <c r="G118" s="25" t="s">
        <v>29</v>
      </c>
      <c r="H118" s="25" t="s">
        <v>40</v>
      </c>
      <c r="I118" s="25">
        <f>4+2</f>
        <v>6</v>
      </c>
      <c r="J118" s="60" t="s">
        <v>31</v>
      </c>
      <c r="K118" s="465">
        <f>[2]REF_TAB_PREÇOS_SANEPAR!I1412</f>
        <v>89.88</v>
      </c>
      <c r="L118" s="468"/>
      <c r="M118" s="61">
        <f>IF(G118="", "", IFERROR(IF(G118="Mat", BDI!C$31, IF(G118="MO", BDI!C$17)), ""))</f>
        <v>0.24490000000000001</v>
      </c>
      <c r="N118" s="26">
        <f>IF(K118="","",K118*(1+M118))</f>
        <v>111.89161199999998</v>
      </c>
      <c r="O118" s="62">
        <f>K118*I118</f>
        <v>539.28</v>
      </c>
      <c r="P118" s="27">
        <f>N118*I118</f>
        <v>671.34967199999983</v>
      </c>
    </row>
    <row r="119" spans="2:16">
      <c r="B119" s="505" t="s">
        <v>245</v>
      </c>
      <c r="C119" s="506"/>
      <c r="D119" s="506"/>
      <c r="E119" s="466" t="s">
        <v>246</v>
      </c>
      <c r="F119" s="481"/>
      <c r="G119" s="25" t="s">
        <v>29</v>
      </c>
      <c r="H119" s="25" t="s">
        <v>40</v>
      </c>
      <c r="I119" s="25">
        <v>2</v>
      </c>
      <c r="J119" s="60" t="s">
        <v>31</v>
      </c>
      <c r="K119" s="465">
        <f>[2]REF_TAB_PREÇOS_SANEPAR!I1413</f>
        <v>98.05</v>
      </c>
      <c r="L119" s="468"/>
      <c r="M119" s="61">
        <f>IF(G119="", "", IFERROR(IF(G119="Mat", BDI!C$31, IF(G119="MO", BDI!C$17)), ""))</f>
        <v>0.24490000000000001</v>
      </c>
      <c r="N119" s="26">
        <f>IF(K119="","",K119*(1+M119))</f>
        <v>122.06244499999998</v>
      </c>
      <c r="O119" s="62">
        <f>K119*I119</f>
        <v>196.1</v>
      </c>
      <c r="P119" s="27">
        <f>N119*I119</f>
        <v>244.12488999999997</v>
      </c>
    </row>
    <row r="120" spans="2:16">
      <c r="B120" s="480" t="s">
        <v>247</v>
      </c>
      <c r="C120" s="487"/>
      <c r="D120" s="487"/>
      <c r="E120" s="480" t="s">
        <v>248</v>
      </c>
      <c r="F120" s="487"/>
      <c r="G120" s="21"/>
      <c r="H120" s="21"/>
      <c r="I120" s="21"/>
      <c r="J120" s="57" t="s">
        <v>28</v>
      </c>
      <c r="K120" s="467" t="str">
        <f>[2]REF_TAB_PREÇOS_SANEPAR!I1501</f>
        <v/>
      </c>
      <c r="L120" s="471"/>
      <c r="M120" s="58" t="str">
        <f>IF(G120="", "", IFERROR(IF(G120="Mat", BDI!C$31, IF(G120="MO", BDI!C$17)), ""))</f>
        <v/>
      </c>
      <c r="N120" s="23"/>
      <c r="O120" s="59"/>
      <c r="P120" s="24">
        <f>P121</f>
        <v>87.055857000000003</v>
      </c>
    </row>
    <row r="121" spans="2:16">
      <c r="B121" s="505" t="s">
        <v>249</v>
      </c>
      <c r="C121" s="506"/>
      <c r="D121" s="506"/>
      <c r="E121" s="466" t="s">
        <v>250</v>
      </c>
      <c r="F121" s="481"/>
      <c r="G121" s="25" t="s">
        <v>29</v>
      </c>
      <c r="H121" s="25" t="s">
        <v>40</v>
      </c>
      <c r="I121" s="25">
        <v>1</v>
      </c>
      <c r="J121" s="60" t="s">
        <v>31</v>
      </c>
      <c r="K121" s="465">
        <f>[2]REF_TAB_PREÇOS_SANEPAR!I1525</f>
        <v>69.930000000000007</v>
      </c>
      <c r="L121" s="468"/>
      <c r="M121" s="61">
        <f>IF(G121="", "", IFERROR(IF(G121="Mat", BDI!C$31, IF(G121="MO", BDI!C$17)), ""))</f>
        <v>0.24490000000000001</v>
      </c>
      <c r="N121" s="26">
        <f>IF(K121="","",K121*(1+M121))</f>
        <v>87.055857000000003</v>
      </c>
      <c r="O121" s="62">
        <f>K121*I121</f>
        <v>69.930000000000007</v>
      </c>
      <c r="P121" s="27">
        <f>N121*I121</f>
        <v>87.055857000000003</v>
      </c>
    </row>
    <row r="122" spans="2:16">
      <c r="B122" s="480" t="s">
        <v>251</v>
      </c>
      <c r="C122" s="487"/>
      <c r="D122" s="487"/>
      <c r="E122" s="480" t="s">
        <v>252</v>
      </c>
      <c r="F122" s="487"/>
      <c r="G122" s="21"/>
      <c r="H122" s="21"/>
      <c r="I122" s="21"/>
      <c r="J122" s="57" t="s">
        <v>28</v>
      </c>
      <c r="K122" s="467" t="str">
        <f>[2]REF_TAB_PREÇOS_SANEPAR!I1632</f>
        <v/>
      </c>
      <c r="L122" s="471"/>
      <c r="M122" s="58" t="str">
        <f>IF(G122="", "", IFERROR(IF(G122="Mat", BDI!C$31, IF(G122="MO", BDI!C$17)), ""))</f>
        <v/>
      </c>
      <c r="N122" s="23"/>
      <c r="O122" s="59"/>
      <c r="P122" s="24">
        <f>P123</f>
        <v>298.34028499999999</v>
      </c>
    </row>
    <row r="123" spans="2:16">
      <c r="B123" s="505" t="s">
        <v>253</v>
      </c>
      <c r="C123" s="506"/>
      <c r="D123" s="506"/>
      <c r="E123" s="466" t="s">
        <v>254</v>
      </c>
      <c r="F123" s="481"/>
      <c r="G123" s="25" t="s">
        <v>29</v>
      </c>
      <c r="H123" s="25" t="s">
        <v>40</v>
      </c>
      <c r="I123" s="25">
        <v>1</v>
      </c>
      <c r="J123" s="60" t="s">
        <v>31</v>
      </c>
      <c r="K123" s="465">
        <f>[2]REF_TAB_PREÇOS_SANEPAR!I1633</f>
        <v>239.65</v>
      </c>
      <c r="L123" s="468"/>
      <c r="M123" s="61">
        <f>IF(G123="", "", IFERROR(IF(G123="Mat", BDI!C$31, IF(G123="MO", BDI!C$17)), ""))</f>
        <v>0.24490000000000001</v>
      </c>
      <c r="N123" s="26">
        <f>IF(K123="","",K123*(1+M123))</f>
        <v>298.34028499999999</v>
      </c>
      <c r="O123" s="62">
        <f>K123*I123</f>
        <v>239.65</v>
      </c>
      <c r="P123" s="27">
        <f>N123*I123</f>
        <v>298.34028499999999</v>
      </c>
    </row>
    <row r="124" spans="2:16">
      <c r="B124" s="480" t="s">
        <v>255</v>
      </c>
      <c r="C124" s="487"/>
      <c r="D124" s="487"/>
      <c r="E124" s="480" t="s">
        <v>256</v>
      </c>
      <c r="F124" s="487"/>
      <c r="G124" s="21"/>
      <c r="H124" s="21"/>
      <c r="I124" s="21"/>
      <c r="J124" s="57" t="s">
        <v>28</v>
      </c>
      <c r="K124" s="467" t="str">
        <f>[2]REF_TAB_PREÇOS_SANEPAR!I1704</f>
        <v/>
      </c>
      <c r="L124" s="471"/>
      <c r="M124" s="58" t="str">
        <f>IF(G124="", "", IFERROR(IF(G124="Mat", BDI!C$31, IF(G124="MO", BDI!C$17)), ""))</f>
        <v/>
      </c>
      <c r="N124" s="23"/>
      <c r="O124" s="59"/>
      <c r="P124" s="24">
        <f>P125</f>
        <v>553.6070299999999</v>
      </c>
    </row>
    <row r="125" spans="2:16">
      <c r="B125" s="505" t="s">
        <v>257</v>
      </c>
      <c r="C125" s="506"/>
      <c r="D125" s="506"/>
      <c r="E125" s="466" t="s">
        <v>258</v>
      </c>
      <c r="F125" s="481"/>
      <c r="G125" s="25" t="s">
        <v>29</v>
      </c>
      <c r="H125" s="25" t="s">
        <v>40</v>
      </c>
      <c r="I125" s="25">
        <v>1</v>
      </c>
      <c r="J125" s="60" t="s">
        <v>31</v>
      </c>
      <c r="K125" s="465">
        <f>[2]REF_TAB_PREÇOS_SANEPAR!I1708</f>
        <v>444.7</v>
      </c>
      <c r="L125" s="468"/>
      <c r="M125" s="61">
        <f>IF(G125="", "", IFERROR(IF(G125="Mat", BDI!C$31, IF(G125="MO", BDI!C$17)), ""))</f>
        <v>0.24490000000000001</v>
      </c>
      <c r="N125" s="26">
        <f>IF(K125="","",K125*(1+M125))</f>
        <v>553.6070299999999</v>
      </c>
      <c r="O125" s="62">
        <f>K125*I125</f>
        <v>444.7</v>
      </c>
      <c r="P125" s="27">
        <f>N125*I125</f>
        <v>553.6070299999999</v>
      </c>
    </row>
    <row r="126" spans="2:16">
      <c r="B126" s="480" t="s">
        <v>259</v>
      </c>
      <c r="C126" s="487"/>
      <c r="D126" s="487"/>
      <c r="E126" s="480" t="s">
        <v>260</v>
      </c>
      <c r="F126" s="487"/>
      <c r="G126" s="21"/>
      <c r="H126" s="21"/>
      <c r="I126" s="21"/>
      <c r="J126" s="57" t="s">
        <v>28</v>
      </c>
      <c r="K126" s="467" t="str">
        <f>[2]REF_TAB_PREÇOS_SANEPAR!I1807</f>
        <v/>
      </c>
      <c r="L126" s="471"/>
      <c r="M126" s="58" t="str">
        <f>IF(G126="", "", IFERROR(IF(G126="Mat", BDI!C$31, IF(G126="MO", BDI!C$17)), ""))</f>
        <v/>
      </c>
      <c r="N126" s="23"/>
      <c r="O126" s="59"/>
      <c r="P126" s="24">
        <f>P127+P128</f>
        <v>2474.0644639999996</v>
      </c>
    </row>
    <row r="127" spans="2:16">
      <c r="B127" s="505" t="s">
        <v>261</v>
      </c>
      <c r="C127" s="506"/>
      <c r="D127" s="506"/>
      <c r="E127" s="466" t="s">
        <v>262</v>
      </c>
      <c r="F127" s="481"/>
      <c r="G127" s="25" t="s">
        <v>29</v>
      </c>
      <c r="H127" s="25" t="s">
        <v>40</v>
      </c>
      <c r="I127" s="25">
        <v>8</v>
      </c>
      <c r="J127" s="60" t="s">
        <v>31</v>
      </c>
      <c r="K127" s="465">
        <f>[2]REF_TAB_PREÇOS_SANEPAR!I1838</f>
        <v>136.47</v>
      </c>
      <c r="L127" s="468"/>
      <c r="M127" s="61">
        <f>IF(G127="", "", IFERROR(IF(G127="Mat", BDI!C$31, IF(G127="MO", BDI!C$17)), ""))</f>
        <v>0.24490000000000001</v>
      </c>
      <c r="N127" s="26">
        <f>IF(K127="","",K127*(1+M127))</f>
        <v>169.89150299999997</v>
      </c>
      <c r="O127" s="62">
        <f>K127*I127</f>
        <v>1091.76</v>
      </c>
      <c r="P127" s="27">
        <f>N127*I127</f>
        <v>1359.1320239999998</v>
      </c>
    </row>
    <row r="128" spans="2:16">
      <c r="B128" s="505" t="s">
        <v>263</v>
      </c>
      <c r="C128" s="506"/>
      <c r="D128" s="506"/>
      <c r="E128" s="466" t="s">
        <v>264</v>
      </c>
      <c r="F128" s="481"/>
      <c r="G128" s="25" t="s">
        <v>29</v>
      </c>
      <c r="H128" s="25" t="s">
        <v>40</v>
      </c>
      <c r="I128" s="25">
        <v>5</v>
      </c>
      <c r="J128" s="60" t="s">
        <v>31</v>
      </c>
      <c r="K128" s="465">
        <f>[2]REF_TAB_PREÇOS_SANEPAR!I1839</f>
        <v>179.12</v>
      </c>
      <c r="L128" s="468"/>
      <c r="M128" s="61">
        <f>IF(G128="", "", IFERROR(IF(G128="Mat", BDI!C$31, IF(G128="MO", BDI!C$17)), ""))</f>
        <v>0.24490000000000001</v>
      </c>
      <c r="N128" s="26">
        <f>IF(K128="","",K128*(1+M128))</f>
        <v>222.98648799999998</v>
      </c>
      <c r="O128" s="62">
        <f>K128*I128</f>
        <v>895.6</v>
      </c>
      <c r="P128" s="27">
        <f>N128*I128</f>
        <v>1114.9324399999998</v>
      </c>
    </row>
    <row r="129" spans="2:16">
      <c r="B129" s="480" t="s">
        <v>265</v>
      </c>
      <c r="C129" s="487"/>
      <c r="D129" s="487"/>
      <c r="E129" s="480" t="s">
        <v>266</v>
      </c>
      <c r="F129" s="487"/>
      <c r="G129" s="21"/>
      <c r="H129" s="21"/>
      <c r="I129" s="21"/>
      <c r="J129" s="57" t="s">
        <v>28</v>
      </c>
      <c r="K129" s="467" t="str">
        <f>[2]REF_TAB_PREÇOS_SANEPAR!I1936</f>
        <v/>
      </c>
      <c r="L129" s="471"/>
      <c r="M129" s="58" t="str">
        <f>IF(G129="", "", IFERROR(IF(G129="Mat", BDI!C$31, IF(G129="MO", BDI!C$17)), ""))</f>
        <v/>
      </c>
      <c r="N129" s="23"/>
      <c r="O129" s="59"/>
      <c r="P129" s="24">
        <f>P130+P160</f>
        <v>1424.2278450000001</v>
      </c>
    </row>
    <row r="130" spans="2:16">
      <c r="B130" s="505" t="s">
        <v>267</v>
      </c>
      <c r="C130" s="506"/>
      <c r="D130" s="506"/>
      <c r="E130" s="466" t="s">
        <v>268</v>
      </c>
      <c r="F130" s="481"/>
      <c r="G130" s="25" t="s">
        <v>29</v>
      </c>
      <c r="H130" s="25" t="s">
        <v>40</v>
      </c>
      <c r="I130" s="25">
        <v>3</v>
      </c>
      <c r="J130" s="60" t="s">
        <v>31</v>
      </c>
      <c r="K130" s="465">
        <f>[2]REF_TAB_PREÇOS_SANEPAR!I1941</f>
        <v>50.81</v>
      </c>
      <c r="L130" s="468"/>
      <c r="M130" s="61">
        <f>IF(G130="", "", IFERROR(IF(G130="Mat", BDI!C$31, IF(G130="MO", BDI!C$17)), ""))</f>
        <v>0.24490000000000001</v>
      </c>
      <c r="N130" s="26">
        <f>IF(K130="","",K130*(1+M130))</f>
        <v>63.253368999999999</v>
      </c>
      <c r="O130" s="62">
        <f>K130*I130</f>
        <v>152.43</v>
      </c>
      <c r="P130" s="27">
        <f>N130*I130</f>
        <v>189.760107</v>
      </c>
    </row>
    <row r="131" spans="2:16">
      <c r="B131" s="509" t="s">
        <v>283</v>
      </c>
      <c r="C131" s="522"/>
      <c r="D131" s="522"/>
      <c r="E131" s="509" t="s">
        <v>284</v>
      </c>
      <c r="F131" s="522"/>
      <c r="G131" s="28"/>
      <c r="H131" s="28"/>
      <c r="I131" s="28"/>
      <c r="J131" s="64" t="s">
        <v>28</v>
      </c>
      <c r="K131" s="472"/>
      <c r="L131" s="473"/>
      <c r="M131" s="65" t="str">
        <f>IF(G131="", "", IFERROR(IF(G131="Mat", BDI!C$31, IF(G131="MO", BDI!C$17)), ""))</f>
        <v/>
      </c>
      <c r="N131" s="29"/>
      <c r="O131" s="66"/>
      <c r="P131" s="30">
        <f>P132</f>
        <v>287.27707499999997</v>
      </c>
    </row>
    <row r="132" spans="2:16">
      <c r="B132" s="480" t="s">
        <v>285</v>
      </c>
      <c r="C132" s="487"/>
      <c r="D132" s="487"/>
      <c r="E132" s="480" t="s">
        <v>286</v>
      </c>
      <c r="F132" s="487"/>
      <c r="G132" s="21"/>
      <c r="H132" s="21"/>
      <c r="I132" s="21"/>
      <c r="J132" s="57" t="s">
        <v>28</v>
      </c>
      <c r="K132" s="467" t="str">
        <f>[2]REF_TAB_PREÇOS_SANEPAR!I2260</f>
        <v/>
      </c>
      <c r="L132" s="471"/>
      <c r="M132" s="58" t="str">
        <f>IF(G132="", "", IFERROR(IF(G132="Mat", BDI!C$31, IF(G132="MO", BDI!C$17)), ""))</f>
        <v/>
      </c>
      <c r="N132" s="23"/>
      <c r="O132" s="59"/>
      <c r="P132" s="24">
        <f>SUM(P133:P133)</f>
        <v>287.27707499999997</v>
      </c>
    </row>
    <row r="133" spans="2:16">
      <c r="B133" s="505" t="s">
        <v>287</v>
      </c>
      <c r="C133" s="506"/>
      <c r="D133" s="506"/>
      <c r="E133" s="466" t="s">
        <v>288</v>
      </c>
      <c r="F133" s="481"/>
      <c r="G133" s="25" t="s">
        <v>39</v>
      </c>
      <c r="H133" s="25" t="s">
        <v>40</v>
      </c>
      <c r="I133" s="25">
        <v>1</v>
      </c>
      <c r="J133" s="60" t="s">
        <v>30</v>
      </c>
      <c r="K133" s="465">
        <f>[2]REF_TAB_PREÇOS_SANEPAR!I2261</f>
        <v>254.25</v>
      </c>
      <c r="L133" s="468"/>
      <c r="M133" s="61">
        <f>IF(G133="", "", IFERROR(IF(G133="Mat", BDI!C$31, IF(G133="MO", BDI!C$17)), ""))</f>
        <v>0.12989999999999999</v>
      </c>
      <c r="N133" s="26">
        <f>IF(K133="","",K133*(1+M133))</f>
        <v>287.27707499999997</v>
      </c>
      <c r="O133" s="62">
        <f>K133*I133</f>
        <v>254.25</v>
      </c>
      <c r="P133" s="27">
        <f>N133*I133</f>
        <v>287.27707499999997</v>
      </c>
    </row>
    <row r="134" spans="2:16">
      <c r="B134" s="482"/>
      <c r="C134" s="482"/>
      <c r="D134" s="482"/>
      <c r="E134" s="482" t="s">
        <v>547</v>
      </c>
      <c r="F134" s="482"/>
      <c r="G134" s="32"/>
      <c r="H134" s="32"/>
      <c r="I134" s="36"/>
      <c r="J134" s="52"/>
      <c r="K134" s="475"/>
      <c r="L134" s="475"/>
      <c r="M134" s="108" t="str">
        <f>IF(G134="", "", IFERROR(IF(G134="Mat", BDI!C$31, IF(G134="MO", BDI!C$17)), ""))</f>
        <v/>
      </c>
      <c r="N134" s="33"/>
      <c r="O134" s="68"/>
      <c r="P134" s="34">
        <f>P135+P138</f>
        <v>41092.841854999991</v>
      </c>
    </row>
    <row r="135" spans="2:16">
      <c r="B135" s="509" t="s">
        <v>175</v>
      </c>
      <c r="C135" s="522"/>
      <c r="D135" s="522"/>
      <c r="E135" s="509" t="s">
        <v>176</v>
      </c>
      <c r="F135" s="522"/>
      <c r="G135" s="28"/>
      <c r="H135" s="28"/>
      <c r="I135" s="28"/>
      <c r="J135" s="64" t="s">
        <v>28</v>
      </c>
      <c r="K135" s="472"/>
      <c r="L135" s="473"/>
      <c r="M135" s="65" t="str">
        <f>IF(G135="", "", IFERROR(IF(G135="Mat", BDI!C$31, IF(G135="MO", BDI!C$17)), ""))</f>
        <v/>
      </c>
      <c r="N135" s="29"/>
      <c r="O135" s="66"/>
      <c r="P135" s="30">
        <f>P136</f>
        <v>2121.7204169999995</v>
      </c>
    </row>
    <row r="136" spans="2:16">
      <c r="B136" s="480" t="s">
        <v>177</v>
      </c>
      <c r="C136" s="487"/>
      <c r="D136" s="487"/>
      <c r="E136" s="480" t="s">
        <v>178</v>
      </c>
      <c r="F136" s="487"/>
      <c r="G136" s="21"/>
      <c r="H136" s="21"/>
      <c r="I136" s="21"/>
      <c r="J136" s="57" t="s">
        <v>28</v>
      </c>
      <c r="K136" s="467" t="str">
        <f>[2]REF_TAB_PREÇOS_SANEPAR!I1101</f>
        <v/>
      </c>
      <c r="L136" s="471"/>
      <c r="M136" s="58" t="str">
        <f>IF(G136="", "", IFERROR(IF(G136="Mat", BDI!C$31, IF(G136="MO", BDI!C$17)), ""))</f>
        <v/>
      </c>
      <c r="N136" s="23"/>
      <c r="O136" s="59"/>
      <c r="P136" s="24">
        <f>P137</f>
        <v>2121.7204169999995</v>
      </c>
    </row>
    <row r="137" spans="2:16">
      <c r="B137" s="505" t="s">
        <v>179</v>
      </c>
      <c r="C137" s="506"/>
      <c r="D137" s="506"/>
      <c r="E137" s="466" t="s">
        <v>180</v>
      </c>
      <c r="F137" s="481"/>
      <c r="G137" s="25" t="s">
        <v>29</v>
      </c>
      <c r="H137" s="25" t="s">
        <v>40</v>
      </c>
      <c r="I137" s="25">
        <v>1</v>
      </c>
      <c r="J137" s="60" t="s">
        <v>70</v>
      </c>
      <c r="K137" s="465">
        <f>[2]REF_TAB_PREÇOS_SANEPAR!I1105</f>
        <v>1704.33</v>
      </c>
      <c r="L137" s="468"/>
      <c r="M137" s="61">
        <f>IF(G137="", "", IFERROR(IF(G137="Mat", BDI!C$31, IF(G137="MO", BDI!C$17)), ""))</f>
        <v>0.24490000000000001</v>
      </c>
      <c r="N137" s="26">
        <f>IF(K137="","",K137*(1+M137))</f>
        <v>2121.7204169999995</v>
      </c>
      <c r="O137" s="62">
        <f>K137*I137</f>
        <v>1704.33</v>
      </c>
      <c r="P137" s="27">
        <f>N137*I137</f>
        <v>2121.7204169999995</v>
      </c>
    </row>
    <row r="138" spans="2:16">
      <c r="B138" s="510" t="s">
        <v>399</v>
      </c>
      <c r="C138" s="511"/>
      <c r="D138" s="511"/>
      <c r="E138" s="509" t="s">
        <v>398</v>
      </c>
      <c r="F138" s="509"/>
      <c r="G138" s="37"/>
      <c r="H138" s="37"/>
      <c r="I138" s="37"/>
      <c r="J138" s="63"/>
      <c r="K138" s="474"/>
      <c r="L138" s="474"/>
      <c r="M138" s="65" t="str">
        <f>IF(G138="", "", IFERROR(IF(G138="Mat", BDI!C$31, IF(G138="MO", BDI!C$17)), ""))</f>
        <v/>
      </c>
      <c r="N138" s="38"/>
      <c r="O138" s="69"/>
      <c r="P138" s="85">
        <f>P139+P141+P143+P145+P151</f>
        <v>38971.121437999995</v>
      </c>
    </row>
    <row r="139" spans="2:16">
      <c r="B139" s="478" t="s">
        <v>437</v>
      </c>
      <c r="C139" s="479"/>
      <c r="D139" s="479"/>
      <c r="E139" s="480" t="s">
        <v>438</v>
      </c>
      <c r="F139" s="480"/>
      <c r="G139" s="39"/>
      <c r="H139" s="39"/>
      <c r="I139" s="39"/>
      <c r="J139" s="56"/>
      <c r="K139" s="477"/>
      <c r="L139" s="477"/>
      <c r="M139" s="58" t="str">
        <f>IF(G139="", "", IFERROR(IF(G139="Mat", BDI!C$31, IF(G139="MO", BDI!C$17)), ""))</f>
        <v/>
      </c>
      <c r="N139" s="23" t="str">
        <f>IF(K139="","",K139*(1+M139))</f>
        <v/>
      </c>
      <c r="O139" s="72"/>
      <c r="P139" s="22">
        <f>P140</f>
        <v>33879.517784999996</v>
      </c>
    </row>
    <row r="140" spans="2:16">
      <c r="B140" s="541" t="s">
        <v>440</v>
      </c>
      <c r="C140" s="542"/>
      <c r="D140" s="542"/>
      <c r="E140" s="466" t="s">
        <v>439</v>
      </c>
      <c r="F140" s="466"/>
      <c r="G140" s="40" t="s">
        <v>29</v>
      </c>
      <c r="H140" s="25" t="s">
        <v>40</v>
      </c>
      <c r="I140" s="40">
        <v>1</v>
      </c>
      <c r="J140" s="73" t="s">
        <v>31</v>
      </c>
      <c r="K140" s="543">
        <v>27214.65</v>
      </c>
      <c r="L140" s="543"/>
      <c r="M140" s="61">
        <f>IF(G140="", "", IFERROR(IF(G140="Mat", BDI!C$31, IF(G140="MO", BDI!C$17)), ""))</f>
        <v>0.24490000000000001</v>
      </c>
      <c r="N140" s="26">
        <f>IF(K140="","",K140*(1+M140))</f>
        <v>33879.517784999996</v>
      </c>
      <c r="O140" s="74">
        <f>K140*I140</f>
        <v>27214.65</v>
      </c>
      <c r="P140" s="41">
        <f>N140*I140</f>
        <v>33879.517784999996</v>
      </c>
    </row>
    <row r="141" spans="2:16">
      <c r="B141" s="491" t="s">
        <v>445</v>
      </c>
      <c r="C141" s="479"/>
      <c r="D141" s="479"/>
      <c r="E141" s="480" t="s">
        <v>446</v>
      </c>
      <c r="F141" s="480"/>
      <c r="G141" s="21"/>
      <c r="H141" s="21"/>
      <c r="I141" s="21"/>
      <c r="J141" s="57"/>
      <c r="K141" s="467"/>
      <c r="L141" s="467"/>
      <c r="M141" s="58" t="str">
        <f>IF(G141="", "", IFERROR(IF(G141="Mat", BDI!C$31, IF(G141="MO", BDI!C$17)), ""))</f>
        <v/>
      </c>
      <c r="N141" s="23" t="str">
        <f>IF(K141="","",K141*(1+M141))</f>
        <v/>
      </c>
      <c r="O141" s="59"/>
      <c r="P141" s="35">
        <f>P142</f>
        <v>3639.4402519999999</v>
      </c>
    </row>
    <row r="142" spans="2:16">
      <c r="B142" s="488" t="s">
        <v>447</v>
      </c>
      <c r="C142" s="489"/>
      <c r="D142" s="489"/>
      <c r="E142" s="466" t="s">
        <v>448</v>
      </c>
      <c r="F142" s="466"/>
      <c r="G142" s="25" t="s">
        <v>29</v>
      </c>
      <c r="H142" s="25" t="s">
        <v>40</v>
      </c>
      <c r="I142" s="25">
        <v>1</v>
      </c>
      <c r="J142" s="60" t="s">
        <v>70</v>
      </c>
      <c r="K142" s="469">
        <v>2923.48</v>
      </c>
      <c r="L142" s="470"/>
      <c r="M142" s="61">
        <f>IF(G142="", "", IFERROR(IF(G142="Mat", BDI!C$31, IF(G142="MO", BDI!C$17)), ""))</f>
        <v>0.24490000000000001</v>
      </c>
      <c r="N142" s="26">
        <f>IF(K142="","",K142*(1+M142))</f>
        <v>3639.4402519999999</v>
      </c>
      <c r="O142" s="62">
        <f>K142*I142</f>
        <v>2923.48</v>
      </c>
      <c r="P142" s="27">
        <f>N142*I142</f>
        <v>3639.4402519999999</v>
      </c>
    </row>
    <row r="143" spans="2:16">
      <c r="B143" s="539"/>
      <c r="C143" s="539"/>
      <c r="D143" s="539"/>
      <c r="E143" s="480" t="s">
        <v>549</v>
      </c>
      <c r="F143" s="480"/>
      <c r="G143" s="21"/>
      <c r="H143" s="21"/>
      <c r="I143" s="44"/>
      <c r="J143" s="57"/>
      <c r="K143" s="540"/>
      <c r="L143" s="540"/>
      <c r="M143" s="58" t="str">
        <f>IF(G143="", "", IFERROR(IF(G143="Mat", BDI!C$31, IF(G143="MO", BDI!C$17)), ""))</f>
        <v/>
      </c>
      <c r="N143" s="23"/>
      <c r="O143" s="59"/>
      <c r="P143" s="35">
        <f>P144</f>
        <v>0</v>
      </c>
    </row>
    <row r="144" spans="2:16">
      <c r="B144" s="476" t="s">
        <v>517</v>
      </c>
      <c r="C144" s="476"/>
      <c r="D144" s="476"/>
      <c r="E144" s="466" t="s">
        <v>521</v>
      </c>
      <c r="F144" s="466"/>
      <c r="G144" s="25" t="s">
        <v>39</v>
      </c>
      <c r="H144" s="25" t="s">
        <v>308</v>
      </c>
      <c r="I144" s="25">
        <v>1</v>
      </c>
      <c r="J144" s="60" t="s">
        <v>31</v>
      </c>
      <c r="K144" s="465"/>
      <c r="L144" s="465"/>
      <c r="M144" s="61">
        <f>IF(G144="", "", IFERROR(IF(G144="Mat", BDI!C$31, IF(G144="MO", BDI!C$17)), ""))</f>
        <v>0.12989999999999999</v>
      </c>
      <c r="N144" s="26" t="str">
        <f t="shared" ref="N144:N152" si="9">IF(K144="","",K144*(1+M144))</f>
        <v/>
      </c>
      <c r="O144" s="62">
        <f>K144*I144</f>
        <v>0</v>
      </c>
      <c r="P144" s="27"/>
    </row>
    <row r="145" spans="2:16">
      <c r="B145" s="491" t="s">
        <v>428</v>
      </c>
      <c r="C145" s="479"/>
      <c r="D145" s="479"/>
      <c r="E145" s="480" t="s">
        <v>429</v>
      </c>
      <c r="F145" s="480"/>
      <c r="G145" s="39"/>
      <c r="H145" s="39"/>
      <c r="I145" s="39"/>
      <c r="J145" s="56"/>
      <c r="K145" s="477"/>
      <c r="L145" s="477"/>
      <c r="M145" s="58" t="str">
        <f>IF(G145="", "", IFERROR(IF(G145="Mat", BDI!C$31, IF(G145="MO", BDI!C$17)), ""))</f>
        <v/>
      </c>
      <c r="N145" s="45" t="str">
        <f t="shared" si="9"/>
        <v/>
      </c>
      <c r="O145" s="72"/>
      <c r="P145" s="22">
        <f>P146</f>
        <v>504.03511200000003</v>
      </c>
    </row>
    <row r="146" spans="2:16">
      <c r="B146" s="488" t="s">
        <v>430</v>
      </c>
      <c r="C146" s="489"/>
      <c r="D146" s="489"/>
      <c r="E146" s="466" t="s">
        <v>431</v>
      </c>
      <c r="F146" s="466"/>
      <c r="G146" s="25" t="s">
        <v>29</v>
      </c>
      <c r="H146" s="25" t="s">
        <v>40</v>
      </c>
      <c r="I146" s="25">
        <v>6</v>
      </c>
      <c r="J146" s="60" t="s">
        <v>31</v>
      </c>
      <c r="K146" s="465">
        <v>67.48</v>
      </c>
      <c r="L146" s="465"/>
      <c r="M146" s="61">
        <f>IF(G146="", "", IFERROR(IF(G146="Mat", BDI!C$31, IF(G146="MO", BDI!C$17)), ""))</f>
        <v>0.24490000000000001</v>
      </c>
      <c r="N146" s="26">
        <f t="shared" si="9"/>
        <v>84.005852000000004</v>
      </c>
      <c r="O146" s="62">
        <f>K146*I146</f>
        <v>404.88</v>
      </c>
      <c r="P146" s="27">
        <f>N146*I146</f>
        <v>504.03511200000003</v>
      </c>
    </row>
    <row r="147" spans="2:16">
      <c r="B147" s="534">
        <v>19058</v>
      </c>
      <c r="C147" s="531"/>
      <c r="D147" s="532"/>
      <c r="E147" s="483" t="s">
        <v>560</v>
      </c>
      <c r="F147" s="484"/>
      <c r="G147" s="25" t="s">
        <v>39</v>
      </c>
      <c r="H147" s="25" t="s">
        <v>308</v>
      </c>
      <c r="I147" s="25">
        <v>1</v>
      </c>
      <c r="J147" s="60" t="s">
        <v>31</v>
      </c>
      <c r="K147" s="465">
        <v>1</v>
      </c>
      <c r="L147" s="465"/>
      <c r="M147" s="61">
        <f>IF(G147="", "", IFERROR(IF(G147="Mat", BDI!C$31, IF(G147="MO", BDI!C$17)), ""))</f>
        <v>0.12989999999999999</v>
      </c>
      <c r="N147" s="26">
        <f t="shared" si="9"/>
        <v>1.1298999999999999</v>
      </c>
      <c r="O147" s="62">
        <f>K147*I147</f>
        <v>1</v>
      </c>
      <c r="P147" s="27">
        <f>N147*I147</f>
        <v>1.1298999999999999</v>
      </c>
    </row>
    <row r="148" spans="2:16">
      <c r="B148" s="534">
        <v>19060</v>
      </c>
      <c r="C148" s="535"/>
      <c r="D148" s="536"/>
      <c r="E148" s="483" t="s">
        <v>570</v>
      </c>
      <c r="F148" s="484"/>
      <c r="G148" s="25" t="s">
        <v>39</v>
      </c>
      <c r="H148" s="25" t="s">
        <v>308</v>
      </c>
      <c r="I148" s="25">
        <v>30</v>
      </c>
      <c r="J148" s="60" t="s">
        <v>36</v>
      </c>
      <c r="K148" s="465">
        <v>1</v>
      </c>
      <c r="L148" s="465"/>
      <c r="M148" s="61">
        <f>IF(G148="", "", IFERROR(IF(G148="Mat", BDI!C$31, IF(G148="MO", BDI!C$17)), ""))</f>
        <v>0.12989999999999999</v>
      </c>
      <c r="N148" s="26">
        <f t="shared" si="9"/>
        <v>1.1298999999999999</v>
      </c>
      <c r="O148" s="62">
        <f>K148*I148</f>
        <v>30</v>
      </c>
      <c r="P148" s="27">
        <f>N148*I148</f>
        <v>33.896999999999998</v>
      </c>
    </row>
    <row r="149" spans="2:16">
      <c r="B149" s="534">
        <v>19061</v>
      </c>
      <c r="C149" s="535"/>
      <c r="D149" s="536"/>
      <c r="E149" s="483" t="s">
        <v>571</v>
      </c>
      <c r="F149" s="484"/>
      <c r="G149" s="25" t="s">
        <v>39</v>
      </c>
      <c r="H149" s="25" t="s">
        <v>308</v>
      </c>
      <c r="I149" s="25">
        <v>20</v>
      </c>
      <c r="J149" s="60" t="s">
        <v>36</v>
      </c>
      <c r="K149" s="465">
        <v>1</v>
      </c>
      <c r="L149" s="465"/>
      <c r="M149" s="61">
        <f>IF(G149="", "", IFERROR(IF(G149="Mat", BDI!C$31, IF(G149="MO", BDI!C$17)), ""))</f>
        <v>0.12989999999999999</v>
      </c>
      <c r="N149" s="26">
        <f t="shared" si="9"/>
        <v>1.1298999999999999</v>
      </c>
      <c r="O149" s="62">
        <f>K149*I149</f>
        <v>20</v>
      </c>
      <c r="P149" s="27">
        <f>N149*I149</f>
        <v>22.597999999999999</v>
      </c>
    </row>
    <row r="150" spans="2:16">
      <c r="B150" s="534">
        <v>19062</v>
      </c>
      <c r="C150" s="535"/>
      <c r="D150" s="536"/>
      <c r="E150" s="483" t="s">
        <v>572</v>
      </c>
      <c r="F150" s="484"/>
      <c r="G150" s="25" t="s">
        <v>39</v>
      </c>
      <c r="H150" s="25" t="s">
        <v>308</v>
      </c>
      <c r="I150" s="25">
        <v>20</v>
      </c>
      <c r="J150" s="60" t="s">
        <v>36</v>
      </c>
      <c r="K150" s="465">
        <v>1</v>
      </c>
      <c r="L150" s="465"/>
      <c r="M150" s="61">
        <f>IF(G150="", "", IFERROR(IF(G150="Mat", BDI!C$31, IF(G150="MO", BDI!C$17)), ""))</f>
        <v>0.12989999999999999</v>
      </c>
      <c r="N150" s="26">
        <f t="shared" si="9"/>
        <v>1.1298999999999999</v>
      </c>
      <c r="O150" s="62">
        <f>K150*I150</f>
        <v>20</v>
      </c>
      <c r="P150" s="27">
        <f>N150*I150</f>
        <v>22.597999999999999</v>
      </c>
    </row>
    <row r="151" spans="2:16">
      <c r="B151" s="478" t="s">
        <v>441</v>
      </c>
      <c r="C151" s="479"/>
      <c r="D151" s="479"/>
      <c r="E151" s="480" t="s">
        <v>442</v>
      </c>
      <c r="F151" s="480"/>
      <c r="G151" s="39"/>
      <c r="H151" s="39"/>
      <c r="I151" s="39"/>
      <c r="J151" s="56"/>
      <c r="K151" s="477"/>
      <c r="L151" s="477"/>
      <c r="M151" s="58" t="str">
        <f>IF(G151="", "", IFERROR(IF(G151="Mat", BDI!C$31, IF(G151="MO", BDI!C$17)), ""))</f>
        <v/>
      </c>
      <c r="N151" s="23" t="str">
        <f t="shared" si="9"/>
        <v/>
      </c>
      <c r="O151" s="76"/>
      <c r="P151" s="35">
        <f>P152</f>
        <v>948.128289</v>
      </c>
    </row>
    <row r="152" spans="2:16">
      <c r="B152" s="488" t="s">
        <v>443</v>
      </c>
      <c r="C152" s="489"/>
      <c r="D152" s="489"/>
      <c r="E152" s="466" t="s">
        <v>444</v>
      </c>
      <c r="F152" s="466"/>
      <c r="G152" s="25" t="s">
        <v>29</v>
      </c>
      <c r="H152" s="25" t="s">
        <v>40</v>
      </c>
      <c r="I152" s="25">
        <v>3</v>
      </c>
      <c r="J152" s="60" t="s">
        <v>31</v>
      </c>
      <c r="K152" s="465">
        <v>253.87</v>
      </c>
      <c r="L152" s="465"/>
      <c r="M152" s="61">
        <f>IF(G152="", "", IFERROR(IF(G152="Mat", BDI!C$31, IF(G152="MO", BDI!C$17)), ""))</f>
        <v>0.24490000000000001</v>
      </c>
      <c r="N152" s="26">
        <f t="shared" si="9"/>
        <v>316.04276299999998</v>
      </c>
      <c r="O152" s="62">
        <f>K152*I152</f>
        <v>761.61</v>
      </c>
      <c r="P152" s="27">
        <f>N152*I152</f>
        <v>948.128289</v>
      </c>
    </row>
    <row r="153" spans="2:16">
      <c r="B153" s="533"/>
      <c r="C153" s="533"/>
      <c r="D153" s="533"/>
      <c r="E153" s="482" t="s">
        <v>550</v>
      </c>
      <c r="F153" s="482"/>
      <c r="G153" s="32"/>
      <c r="H153" s="32"/>
      <c r="I153" s="32"/>
      <c r="J153" s="52"/>
      <c r="K153" s="537"/>
      <c r="L153" s="538"/>
      <c r="M153" s="108" t="str">
        <f>IF(G153="", "", IFERROR(IF(G153="Mat", BDI!C$31, IF(G153="MO", BDI!C$17)), ""))</f>
        <v/>
      </c>
      <c r="N153" s="33"/>
      <c r="O153" s="68"/>
      <c r="P153" s="34">
        <f>P154+P155+P156+P157+P158+P159+P161</f>
        <v>2482.6631893333333</v>
      </c>
    </row>
    <row r="154" spans="2:16">
      <c r="B154" s="476" t="s">
        <v>536</v>
      </c>
      <c r="C154" s="476"/>
      <c r="D154" s="476"/>
      <c r="E154" s="466" t="s">
        <v>535</v>
      </c>
      <c r="F154" s="466"/>
      <c r="G154" s="25" t="s">
        <v>39</v>
      </c>
      <c r="H154" s="25" t="s">
        <v>308</v>
      </c>
      <c r="I154" s="86">
        <f>1148/6</f>
        <v>191.33333333333334</v>
      </c>
      <c r="J154" s="60" t="s">
        <v>31</v>
      </c>
      <c r="K154" s="465">
        <v>1</v>
      </c>
      <c r="L154" s="465"/>
      <c r="M154" s="61">
        <f>IF(G154="", "", IFERROR(IF(G154="Mat", BDI!C$31, IF(G154="MO", BDI!C$17)), ""))</f>
        <v>0.12989999999999999</v>
      </c>
      <c r="N154" s="26">
        <f>IF(K154="","",K154*(1+M154))</f>
        <v>1.1298999999999999</v>
      </c>
      <c r="O154" s="62">
        <f>K154*I154</f>
        <v>191.33333333333334</v>
      </c>
      <c r="P154" s="27">
        <f>N154*I154</f>
        <v>216.18753333333333</v>
      </c>
    </row>
    <row r="155" spans="2:16">
      <c r="B155" s="476" t="s">
        <v>537</v>
      </c>
      <c r="C155" s="476"/>
      <c r="D155" s="476"/>
      <c r="E155" s="466" t="s">
        <v>531</v>
      </c>
      <c r="F155" s="466"/>
      <c r="G155" s="25" t="s">
        <v>39</v>
      </c>
      <c r="H155" s="25" t="s">
        <v>308</v>
      </c>
      <c r="I155" s="25">
        <v>2</v>
      </c>
      <c r="J155" s="60" t="s">
        <v>31</v>
      </c>
      <c r="K155" s="465">
        <v>1</v>
      </c>
      <c r="L155" s="465"/>
      <c r="M155" s="61">
        <f>IF(G155="", "", IFERROR(IF(G155="Mat", BDI!C$31, IF(G155="MO", BDI!C$17)), ""))</f>
        <v>0.12989999999999999</v>
      </c>
      <c r="N155" s="26">
        <f>IF(K155="","",K155*(1+M155))</f>
        <v>1.1298999999999999</v>
      </c>
      <c r="O155" s="62">
        <f>K155*I155</f>
        <v>2</v>
      </c>
      <c r="P155" s="27">
        <f>N155*I155</f>
        <v>2.2597999999999998</v>
      </c>
    </row>
    <row r="156" spans="2:16">
      <c r="B156" s="476" t="s">
        <v>538</v>
      </c>
      <c r="C156" s="476"/>
      <c r="D156" s="476"/>
      <c r="E156" s="466" t="s">
        <v>532</v>
      </c>
      <c r="F156" s="466"/>
      <c r="G156" s="25" t="s">
        <v>39</v>
      </c>
      <c r="H156" s="25" t="s">
        <v>308</v>
      </c>
      <c r="I156" s="25">
        <v>3</v>
      </c>
      <c r="J156" s="60" t="s">
        <v>31</v>
      </c>
      <c r="K156" s="465">
        <v>1</v>
      </c>
      <c r="L156" s="465"/>
      <c r="M156" s="61">
        <f>IF(G156="", "", IFERROR(IF(G156="Mat", BDI!C$31, IF(G156="MO", BDI!C$17)), ""))</f>
        <v>0.12989999999999999</v>
      </c>
      <c r="N156" s="26">
        <f>IF(K156="","",K156*(1+M156))</f>
        <v>1.1298999999999999</v>
      </c>
      <c r="O156" s="62">
        <f>K156*I156</f>
        <v>3</v>
      </c>
      <c r="P156" s="27">
        <f>N156*I156</f>
        <v>3.3896999999999995</v>
      </c>
    </row>
    <row r="157" spans="2:16">
      <c r="B157" s="476" t="s">
        <v>539</v>
      </c>
      <c r="C157" s="476"/>
      <c r="D157" s="476"/>
      <c r="E157" s="466" t="s">
        <v>534</v>
      </c>
      <c r="F157" s="466"/>
      <c r="G157" s="25" t="s">
        <v>39</v>
      </c>
      <c r="H157" s="25" t="s">
        <v>308</v>
      </c>
      <c r="I157" s="25">
        <v>3</v>
      </c>
      <c r="J157" s="60" t="s">
        <v>31</v>
      </c>
      <c r="K157" s="465">
        <v>1</v>
      </c>
      <c r="L157" s="465"/>
      <c r="M157" s="61">
        <f>IF(G157="", "", IFERROR(IF(G157="Mat", BDI!C$31, IF(G157="MO", BDI!C$17)), ""))</f>
        <v>0.12989999999999999</v>
      </c>
      <c r="N157" s="26">
        <f>IF(K157="","",K157*(1+M157))</f>
        <v>1.1298999999999999</v>
      </c>
      <c r="O157" s="62">
        <f>K157*I157</f>
        <v>3</v>
      </c>
      <c r="P157" s="27">
        <f>N157*I157</f>
        <v>3.3896999999999995</v>
      </c>
    </row>
    <row r="158" spans="2:16">
      <c r="B158" s="476" t="s">
        <v>540</v>
      </c>
      <c r="C158" s="476"/>
      <c r="D158" s="476"/>
      <c r="E158" s="466" t="s">
        <v>533</v>
      </c>
      <c r="F158" s="466"/>
      <c r="G158" s="25" t="s">
        <v>39</v>
      </c>
      <c r="H158" s="25" t="s">
        <v>308</v>
      </c>
      <c r="I158" s="25">
        <v>1</v>
      </c>
      <c r="J158" s="60" t="s">
        <v>31</v>
      </c>
      <c r="K158" s="465">
        <v>1</v>
      </c>
      <c r="L158" s="465"/>
      <c r="M158" s="61">
        <f>IF(G158="", "", IFERROR(IF(G158="Mat", BDI!C$31, IF(G158="MO", BDI!C$17)), ""))</f>
        <v>0.12989999999999999</v>
      </c>
      <c r="N158" s="26">
        <f>IF(K158="","",K158*(1+M158))</f>
        <v>1.1298999999999999</v>
      </c>
      <c r="O158" s="62">
        <f>K158*I158</f>
        <v>1</v>
      </c>
      <c r="P158" s="27">
        <f>N158*I158</f>
        <v>1.1298999999999999</v>
      </c>
    </row>
    <row r="159" spans="2:16" ht="14.45" customHeight="1">
      <c r="B159" s="480" t="s">
        <v>265</v>
      </c>
      <c r="C159" s="487"/>
      <c r="D159" s="487"/>
      <c r="E159" s="480" t="s">
        <v>266</v>
      </c>
      <c r="F159" s="487"/>
      <c r="G159" s="21"/>
      <c r="H159" s="21"/>
      <c r="I159" s="21"/>
      <c r="J159" s="57" t="s">
        <v>28</v>
      </c>
      <c r="K159" s="467"/>
      <c r="L159" s="471"/>
      <c r="M159" s="58" t="str">
        <f>IF(G159="", "", IFERROR(IF(G159="Mat", BDI!C$31, IF(G159="MO", BDI!C$17)), ""))</f>
        <v/>
      </c>
      <c r="N159" s="23"/>
      <c r="O159" s="59"/>
      <c r="P159" s="24">
        <f>P160</f>
        <v>1234.4677380000001</v>
      </c>
    </row>
    <row r="160" spans="2:16">
      <c r="B160" s="505" t="s">
        <v>269</v>
      </c>
      <c r="C160" s="506"/>
      <c r="D160" s="506"/>
      <c r="E160" s="466" t="s">
        <v>270</v>
      </c>
      <c r="F160" s="481"/>
      <c r="G160" s="25" t="s">
        <v>29</v>
      </c>
      <c r="H160" s="25" t="s">
        <v>40</v>
      </c>
      <c r="I160" s="25">
        <f>I155+I156+I157+I158</f>
        <v>9</v>
      </c>
      <c r="J160" s="60" t="s">
        <v>31</v>
      </c>
      <c r="K160" s="465">
        <f>[2]REF_TAB_PREÇOS_SANEPAR!I1982</f>
        <v>110.18</v>
      </c>
      <c r="L160" s="468"/>
      <c r="M160" s="61">
        <f>IF(G160="", "", IFERROR(IF(G160="Mat", BDI!C$31, IF(G160="MO", BDI!C$17)), ""))</f>
        <v>0.24490000000000001</v>
      </c>
      <c r="N160" s="26">
        <f>IF(K160="","",K160*(1+M160))</f>
        <v>137.163082</v>
      </c>
      <c r="O160" s="62">
        <f>K160*I160</f>
        <v>991.62000000000012</v>
      </c>
      <c r="P160" s="27">
        <f>N160*I160</f>
        <v>1234.4677380000001</v>
      </c>
    </row>
    <row r="161" spans="2:16">
      <c r="B161" s="480" t="s">
        <v>138</v>
      </c>
      <c r="C161" s="487"/>
      <c r="D161" s="487"/>
      <c r="E161" s="480" t="s">
        <v>139</v>
      </c>
      <c r="F161" s="487"/>
      <c r="G161" s="21"/>
      <c r="H161" s="21"/>
      <c r="I161" s="21"/>
      <c r="J161" s="57" t="s">
        <v>28</v>
      </c>
      <c r="K161" s="467"/>
      <c r="L161" s="471"/>
      <c r="M161" s="58" t="str">
        <f>IF(G161="", "", IFERROR(IF(G161="Mat", BDI!C$31, IF(G161="MO", BDI!C$17)), ""))</f>
        <v/>
      </c>
      <c r="N161" s="23"/>
      <c r="O161" s="59"/>
      <c r="P161" s="24">
        <f>P162</f>
        <v>1021.8388179999999</v>
      </c>
    </row>
    <row r="162" spans="2:16">
      <c r="B162" s="480" t="s">
        <v>145</v>
      </c>
      <c r="C162" s="487"/>
      <c r="D162" s="487"/>
      <c r="E162" s="480" t="s">
        <v>146</v>
      </c>
      <c r="F162" s="487"/>
      <c r="G162" s="21"/>
      <c r="H162" s="21"/>
      <c r="I162" s="21"/>
      <c r="J162" s="57" t="s">
        <v>28</v>
      </c>
      <c r="K162" s="467" t="str">
        <f>[2]REF_TAB_PREÇOS_SANEPAR!I708</f>
        <v/>
      </c>
      <c r="L162" s="471"/>
      <c r="M162" s="58" t="str">
        <f>IF(G162="", "", IFERROR(IF(G162="Mat", BDI!C$31, IF(G162="MO", BDI!C$17)), ""))</f>
        <v/>
      </c>
      <c r="N162" s="23"/>
      <c r="O162" s="59"/>
      <c r="P162" s="24">
        <f>SUM(P163:P163)</f>
        <v>1021.8388179999999</v>
      </c>
    </row>
    <row r="163" spans="2:16">
      <c r="B163" s="505" t="s">
        <v>147</v>
      </c>
      <c r="C163" s="506"/>
      <c r="D163" s="506"/>
      <c r="E163" s="466" t="s">
        <v>148</v>
      </c>
      <c r="F163" s="481"/>
      <c r="G163" s="25" t="s">
        <v>29</v>
      </c>
      <c r="H163" s="25" t="s">
        <v>40</v>
      </c>
      <c r="I163" s="86">
        <f>I154</f>
        <v>191.33333333333334</v>
      </c>
      <c r="J163" s="60" t="s">
        <v>36</v>
      </c>
      <c r="K163" s="465">
        <f>[2]REF_TAB_PREÇOS_SANEPAR!I720</f>
        <v>4.29</v>
      </c>
      <c r="L163" s="468"/>
      <c r="M163" s="61">
        <f>IF(G163="", "", IFERROR(IF(G163="Mat", BDI!C$31, IF(G163="MO", BDI!C$17)), ""))</f>
        <v>0.24490000000000001</v>
      </c>
      <c r="N163" s="26">
        <f>IF(K163="","",K163*(1+M163))</f>
        <v>5.3406209999999996</v>
      </c>
      <c r="O163" s="62">
        <f>K163*I163</f>
        <v>820.82</v>
      </c>
      <c r="P163" s="27">
        <f>N163*I163</f>
        <v>1021.8388179999999</v>
      </c>
    </row>
    <row r="164" spans="2:16">
      <c r="B164" s="546"/>
      <c r="C164" s="546"/>
      <c r="D164" s="546"/>
      <c r="E164" s="482" t="s">
        <v>548</v>
      </c>
      <c r="F164" s="482"/>
      <c r="G164" s="46"/>
      <c r="H164" s="46"/>
      <c r="I164" s="46"/>
      <c r="J164" s="77"/>
      <c r="K164" s="547"/>
      <c r="L164" s="547"/>
      <c r="M164" s="108" t="str">
        <f>IF(G164="", "", IFERROR(IF(G164="Mat", BDI!C$31, IF(G164="MO", BDI!C$17)), ""))</f>
        <v/>
      </c>
      <c r="N164" s="33"/>
      <c r="O164" s="78"/>
      <c r="P164" s="47">
        <f>P165+P185+P191+P194+P206+P219+P286+P297</f>
        <v>138628.09829089002</v>
      </c>
    </row>
    <row r="165" spans="2:16">
      <c r="B165" s="509" t="s">
        <v>98</v>
      </c>
      <c r="C165" s="522"/>
      <c r="D165" s="522"/>
      <c r="E165" s="509" t="s">
        <v>99</v>
      </c>
      <c r="F165" s="522"/>
      <c r="G165" s="28"/>
      <c r="H165" s="28"/>
      <c r="I165" s="28"/>
      <c r="J165" s="64" t="s">
        <v>28</v>
      </c>
      <c r="K165" s="472" t="str">
        <f>[2]REF_TAB_PREÇOS_SANEPAR!I444</f>
        <v/>
      </c>
      <c r="L165" s="473"/>
      <c r="M165" s="65" t="str">
        <f>IF(G165="", "", IFERROR(IF(G165="Mat", BDI!C$31, IF(G165="MO", BDI!C$17)), ""))</f>
        <v/>
      </c>
      <c r="N165" s="29"/>
      <c r="O165" s="66"/>
      <c r="P165" s="30">
        <f>P166+P168+P170+P172+P174+P177+P179+P181+P183</f>
        <v>1560.0464349999997</v>
      </c>
    </row>
    <row r="166" spans="2:16">
      <c r="B166" s="480" t="s">
        <v>100</v>
      </c>
      <c r="C166" s="487"/>
      <c r="D166" s="487"/>
      <c r="E166" s="480" t="s">
        <v>101</v>
      </c>
      <c r="F166" s="487"/>
      <c r="G166" s="21"/>
      <c r="H166" s="21"/>
      <c r="I166" s="21"/>
      <c r="J166" s="57" t="s">
        <v>28</v>
      </c>
      <c r="K166" s="467" t="str">
        <f>[2]REF_TAB_PREÇOS_SANEPAR!I445</f>
        <v/>
      </c>
      <c r="L166" s="471"/>
      <c r="M166" s="58" t="str">
        <f>IF(G166="", "", IFERROR(IF(G166="Mat", BDI!C$31, IF(G166="MO", BDI!C$17)), ""))</f>
        <v/>
      </c>
      <c r="N166" s="23"/>
      <c r="O166" s="59"/>
      <c r="P166" s="24">
        <f>P167</f>
        <v>118.19080599999998</v>
      </c>
    </row>
    <row r="167" spans="2:16">
      <c r="B167" s="505" t="s">
        <v>102</v>
      </c>
      <c r="C167" s="506"/>
      <c r="D167" s="506"/>
      <c r="E167" s="466" t="s">
        <v>103</v>
      </c>
      <c r="F167" s="481"/>
      <c r="G167" s="25" t="s">
        <v>29</v>
      </c>
      <c r="H167" s="25" t="s">
        <v>40</v>
      </c>
      <c r="I167" s="25">
        <v>1</v>
      </c>
      <c r="J167" s="60" t="s">
        <v>36</v>
      </c>
      <c r="K167" s="465">
        <f>[2]REF_TAB_PREÇOS_SANEPAR!I448</f>
        <v>94.94</v>
      </c>
      <c r="L167" s="468"/>
      <c r="M167" s="61">
        <f>IF(G167="", "", IFERROR(IF(G167="Mat", BDI!C$31, IF(G167="MO", BDI!C$17)), ""))</f>
        <v>0.24490000000000001</v>
      </c>
      <c r="N167" s="26">
        <f>IF(K167="","",K167*(1+M167))</f>
        <v>118.19080599999998</v>
      </c>
      <c r="O167" s="62">
        <f>K167*I167</f>
        <v>94.94</v>
      </c>
      <c r="P167" s="27">
        <f>N167*I167</f>
        <v>118.19080599999998</v>
      </c>
    </row>
    <row r="168" spans="2:16">
      <c r="B168" s="480" t="s">
        <v>104</v>
      </c>
      <c r="C168" s="487"/>
      <c r="D168" s="487"/>
      <c r="E168" s="480" t="s">
        <v>105</v>
      </c>
      <c r="F168" s="487"/>
      <c r="G168" s="21"/>
      <c r="H168" s="21"/>
      <c r="I168" s="21"/>
      <c r="J168" s="57" t="s">
        <v>28</v>
      </c>
      <c r="K168" s="467" t="str">
        <f>[2]REF_TAB_PREÇOS_SANEPAR!I517</f>
        <v/>
      </c>
      <c r="L168" s="471"/>
      <c r="M168" s="58" t="str">
        <f>IF(G168="", "", IFERROR(IF(G168="Mat", BDI!C$31, IF(G168="MO", BDI!C$17)), ""))</f>
        <v/>
      </c>
      <c r="N168" s="23"/>
      <c r="O168" s="59"/>
      <c r="P168" s="24">
        <f>P169</f>
        <v>117.73019299999999</v>
      </c>
    </row>
    <row r="169" spans="2:16">
      <c r="B169" s="505" t="s">
        <v>106</v>
      </c>
      <c r="C169" s="506"/>
      <c r="D169" s="506"/>
      <c r="E169" s="466" t="s">
        <v>107</v>
      </c>
      <c r="F169" s="481"/>
      <c r="G169" s="25" t="s">
        <v>29</v>
      </c>
      <c r="H169" s="25" t="s">
        <v>40</v>
      </c>
      <c r="I169" s="25">
        <v>1</v>
      </c>
      <c r="J169" s="60" t="s">
        <v>30</v>
      </c>
      <c r="K169" s="465">
        <f>[2]REF_TAB_PREÇOS_SANEPAR!I520</f>
        <v>94.57</v>
      </c>
      <c r="L169" s="468"/>
      <c r="M169" s="61">
        <f>IF(G169="", "", IFERROR(IF(G169="Mat", BDI!C$31, IF(G169="MO", BDI!C$17)), ""))</f>
        <v>0.24490000000000001</v>
      </c>
      <c r="N169" s="26">
        <f>IF(K169="","",K169*(1+M169))</f>
        <v>117.73019299999999</v>
      </c>
      <c r="O169" s="62">
        <f>K169*I169</f>
        <v>94.57</v>
      </c>
      <c r="P169" s="27">
        <f>N169*I169</f>
        <v>117.73019299999999</v>
      </c>
    </row>
    <row r="170" spans="2:16">
      <c r="B170" s="480" t="s">
        <v>108</v>
      </c>
      <c r="C170" s="487"/>
      <c r="D170" s="487"/>
      <c r="E170" s="480" t="s">
        <v>109</v>
      </c>
      <c r="F170" s="487"/>
      <c r="G170" s="21"/>
      <c r="H170" s="21"/>
      <c r="I170" s="21"/>
      <c r="J170" s="57" t="s">
        <v>28</v>
      </c>
      <c r="K170" s="467" t="str">
        <f>[2]REF_TAB_PREÇOS_SANEPAR!I524</f>
        <v/>
      </c>
      <c r="L170" s="471"/>
      <c r="M170" s="58" t="str">
        <f>IF(G170="", "", IFERROR(IF(G170="Mat", BDI!C$31, IF(G170="MO", BDI!C$17)), ""))</f>
        <v/>
      </c>
      <c r="N170" s="23"/>
      <c r="O170" s="59"/>
      <c r="P170" s="24">
        <f>P171</f>
        <v>151.30514600000001</v>
      </c>
    </row>
    <row r="171" spans="2:16">
      <c r="B171" s="505" t="s">
        <v>110</v>
      </c>
      <c r="C171" s="506"/>
      <c r="D171" s="506"/>
      <c r="E171" s="466" t="s">
        <v>111</v>
      </c>
      <c r="F171" s="481"/>
      <c r="G171" s="25" t="s">
        <v>29</v>
      </c>
      <c r="H171" s="25" t="s">
        <v>40</v>
      </c>
      <c r="I171" s="25">
        <v>1</v>
      </c>
      <c r="J171" s="60" t="s">
        <v>30</v>
      </c>
      <c r="K171" s="465">
        <f>[2]REF_TAB_PREÇOS_SANEPAR!I532</f>
        <v>121.54</v>
      </c>
      <c r="L171" s="468"/>
      <c r="M171" s="61">
        <f>IF(G171="", "", IFERROR(IF(G171="Mat", BDI!C$31, IF(G171="MO", BDI!C$17)), ""))</f>
        <v>0.24490000000000001</v>
      </c>
      <c r="N171" s="26">
        <f>IF(K171="","",K171*(1+M171))</f>
        <v>151.30514600000001</v>
      </c>
      <c r="O171" s="62">
        <f>K171*I171</f>
        <v>121.54</v>
      </c>
      <c r="P171" s="27">
        <f>N171*I171</f>
        <v>151.30514600000001</v>
      </c>
    </row>
    <row r="172" spans="2:16">
      <c r="B172" s="480" t="s">
        <v>112</v>
      </c>
      <c r="C172" s="487"/>
      <c r="D172" s="487"/>
      <c r="E172" s="480" t="s">
        <v>113</v>
      </c>
      <c r="F172" s="487"/>
      <c r="G172" s="21"/>
      <c r="H172" s="21"/>
      <c r="I172" s="21"/>
      <c r="J172" s="57" t="s">
        <v>28</v>
      </c>
      <c r="K172" s="467" t="str">
        <f>[2]REF_TAB_PREÇOS_SANEPAR!I545</f>
        <v/>
      </c>
      <c r="L172" s="471"/>
      <c r="M172" s="58" t="str">
        <f>IF(G172="", "", IFERROR(IF(G172="Mat", BDI!C$31, IF(G172="MO", BDI!C$17)), ""))</f>
        <v/>
      </c>
      <c r="N172" s="23"/>
      <c r="O172" s="59"/>
      <c r="P172" s="24">
        <f>P173</f>
        <v>108.903852</v>
      </c>
    </row>
    <row r="173" spans="2:16">
      <c r="B173" s="505" t="s">
        <v>114</v>
      </c>
      <c r="C173" s="506"/>
      <c r="D173" s="506"/>
      <c r="E173" s="466" t="s">
        <v>111</v>
      </c>
      <c r="F173" s="481"/>
      <c r="G173" s="25" t="s">
        <v>29</v>
      </c>
      <c r="H173" s="25" t="s">
        <v>40</v>
      </c>
      <c r="I173" s="25">
        <v>1</v>
      </c>
      <c r="J173" s="60" t="s">
        <v>30</v>
      </c>
      <c r="K173" s="465">
        <f>[2]REF_TAB_PREÇOS_SANEPAR!I551</f>
        <v>87.48</v>
      </c>
      <c r="L173" s="468"/>
      <c r="M173" s="61">
        <f>IF(G173="", "", IFERROR(IF(G173="Mat", BDI!C$31, IF(G173="MO", BDI!C$17)), ""))</f>
        <v>0.24490000000000001</v>
      </c>
      <c r="N173" s="26">
        <f>IF(K173="","",K173*(1+M173))</f>
        <v>108.903852</v>
      </c>
      <c r="O173" s="62">
        <f>K173*I173</f>
        <v>87.48</v>
      </c>
      <c r="P173" s="27">
        <f>N173*I173</f>
        <v>108.903852</v>
      </c>
    </row>
    <row r="174" spans="2:16">
      <c r="B174" s="480" t="s">
        <v>115</v>
      </c>
      <c r="C174" s="487"/>
      <c r="D174" s="487"/>
      <c r="E174" s="480" t="s">
        <v>116</v>
      </c>
      <c r="F174" s="487"/>
      <c r="G174" s="21"/>
      <c r="H174" s="21"/>
      <c r="I174" s="21"/>
      <c r="J174" s="57" t="s">
        <v>28</v>
      </c>
      <c r="K174" s="467" t="str">
        <f>[2]REF_TAB_PREÇOS_SANEPAR!I575</f>
        <v/>
      </c>
      <c r="L174" s="471"/>
      <c r="M174" s="58" t="str">
        <f>IF(G174="", "", IFERROR(IF(G174="Mat", BDI!C$31, IF(G174="MO", BDI!C$17)), ""))</f>
        <v/>
      </c>
      <c r="N174" s="23" t="str">
        <f t="shared" ref="N174:N182" si="10">IF(K174="","",K174*(1+M174))</f>
        <v/>
      </c>
      <c r="O174" s="59"/>
      <c r="P174" s="24">
        <f>P175+P176</f>
        <v>0</v>
      </c>
    </row>
    <row r="175" spans="2:16">
      <c r="B175" s="505" t="s">
        <v>117</v>
      </c>
      <c r="C175" s="506"/>
      <c r="D175" s="506"/>
      <c r="E175" s="466" t="s">
        <v>118</v>
      </c>
      <c r="F175" s="481"/>
      <c r="G175" s="25" t="s">
        <v>29</v>
      </c>
      <c r="H175" s="25" t="s">
        <v>40</v>
      </c>
      <c r="I175" s="87"/>
      <c r="J175" s="60" t="s">
        <v>119</v>
      </c>
      <c r="K175" s="465">
        <f>[2]REF_TAB_PREÇOS_SANEPAR!I576</f>
        <v>15.36</v>
      </c>
      <c r="L175" s="468"/>
      <c r="M175" s="61">
        <f>IF(G175="", "", IFERROR(IF(G175="Mat", BDI!C$31, IF(G175="MO", BDI!C$17)), ""))</f>
        <v>0.24490000000000001</v>
      </c>
      <c r="N175" s="26">
        <f t="shared" si="10"/>
        <v>19.121663999999999</v>
      </c>
      <c r="O175" s="62">
        <f t="shared" ref="O175:O182" si="11">K175*I175</f>
        <v>0</v>
      </c>
      <c r="P175" s="27">
        <f t="shared" ref="P175:P182" si="12">N175*I175</f>
        <v>0</v>
      </c>
    </row>
    <row r="176" spans="2:16">
      <c r="B176" s="505" t="s">
        <v>120</v>
      </c>
      <c r="C176" s="506"/>
      <c r="D176" s="506"/>
      <c r="E176" s="466" t="s">
        <v>121</v>
      </c>
      <c r="F176" s="481"/>
      <c r="G176" s="25" t="s">
        <v>29</v>
      </c>
      <c r="H176" s="25" t="s">
        <v>40</v>
      </c>
      <c r="I176" s="87"/>
      <c r="J176" s="60" t="s">
        <v>119</v>
      </c>
      <c r="K176" s="465">
        <f>[2]REF_TAB_PREÇOS_SANEPAR!I577</f>
        <v>16.079999999999998</v>
      </c>
      <c r="L176" s="468"/>
      <c r="M176" s="61">
        <f>IF(G176="", "", IFERROR(IF(G176="Mat", BDI!C$31, IF(G176="MO", BDI!C$17)), ""))</f>
        <v>0.24490000000000001</v>
      </c>
      <c r="N176" s="26">
        <f t="shared" si="10"/>
        <v>20.017991999999996</v>
      </c>
      <c r="O176" s="62">
        <f t="shared" si="11"/>
        <v>0</v>
      </c>
      <c r="P176" s="27">
        <f t="shared" si="12"/>
        <v>0</v>
      </c>
    </row>
    <row r="177" spans="2:16">
      <c r="B177" s="480" t="s">
        <v>122</v>
      </c>
      <c r="C177" s="487"/>
      <c r="D177" s="487"/>
      <c r="E177" s="480" t="s">
        <v>123</v>
      </c>
      <c r="F177" s="487"/>
      <c r="G177" s="21"/>
      <c r="H177" s="21"/>
      <c r="I177" s="21"/>
      <c r="J177" s="57" t="s">
        <v>28</v>
      </c>
      <c r="K177" s="467" t="str">
        <f>[2]REF_TAB_PREÇOS_SANEPAR!I585</f>
        <v/>
      </c>
      <c r="L177" s="471"/>
      <c r="M177" s="58" t="str">
        <f>IF(G177="", "", IFERROR(IF(G177="Mat", BDI!C$31, IF(G177="MO", BDI!C$17)), ""))</f>
        <v/>
      </c>
      <c r="N177" s="23"/>
      <c r="O177" s="59"/>
      <c r="P177" s="24">
        <f>P178</f>
        <v>0</v>
      </c>
    </row>
    <row r="178" spans="2:16">
      <c r="B178" s="505" t="s">
        <v>124</v>
      </c>
      <c r="C178" s="506"/>
      <c r="D178" s="506"/>
      <c r="E178" s="466" t="s">
        <v>125</v>
      </c>
      <c r="F178" s="481"/>
      <c r="G178" s="25" t="s">
        <v>29</v>
      </c>
      <c r="H178" s="25" t="s">
        <v>40</v>
      </c>
      <c r="I178" s="25"/>
      <c r="J178" s="60" t="s">
        <v>70</v>
      </c>
      <c r="K178" s="465">
        <f>[2]REF_TAB_PREÇOS_SANEPAR!I587</f>
        <v>813.71</v>
      </c>
      <c r="L178" s="468"/>
      <c r="M178" s="61">
        <f>IF(G178="", "", IFERROR(IF(G178="Mat", BDI!C$31, IF(G178="MO", BDI!C$17)), ""))</f>
        <v>0.24490000000000001</v>
      </c>
      <c r="N178" s="26">
        <f t="shared" si="10"/>
        <v>1012.987579</v>
      </c>
      <c r="O178" s="62">
        <f t="shared" si="11"/>
        <v>0</v>
      </c>
      <c r="P178" s="27">
        <f t="shared" si="12"/>
        <v>0</v>
      </c>
    </row>
    <row r="179" spans="2:16">
      <c r="B179" s="480" t="s">
        <v>126</v>
      </c>
      <c r="C179" s="487"/>
      <c r="D179" s="487"/>
      <c r="E179" s="480" t="s">
        <v>127</v>
      </c>
      <c r="F179" s="487"/>
      <c r="G179" s="21"/>
      <c r="H179" s="21"/>
      <c r="I179" s="21"/>
      <c r="J179" s="57" t="s">
        <v>28</v>
      </c>
      <c r="K179" s="467" t="str">
        <f>[2]REF_TAB_PREÇOS_SANEPAR!I594</f>
        <v/>
      </c>
      <c r="L179" s="471"/>
      <c r="M179" s="58" t="str">
        <f>IF(G179="", "", IFERROR(IF(G179="Mat", BDI!C$31, IF(G179="MO", BDI!C$17)), ""))</f>
        <v/>
      </c>
      <c r="N179" s="23"/>
      <c r="O179" s="59"/>
      <c r="P179" s="24">
        <f>P180</f>
        <v>717.43586999999991</v>
      </c>
    </row>
    <row r="180" spans="2:16">
      <c r="B180" s="505" t="s">
        <v>128</v>
      </c>
      <c r="C180" s="506"/>
      <c r="D180" s="506"/>
      <c r="E180" s="466" t="s">
        <v>129</v>
      </c>
      <c r="F180" s="466"/>
      <c r="G180" s="25" t="s">
        <v>29</v>
      </c>
      <c r="H180" s="25" t="s">
        <v>40</v>
      </c>
      <c r="I180" s="25">
        <v>1</v>
      </c>
      <c r="J180" s="60" t="s">
        <v>70</v>
      </c>
      <c r="K180" s="465">
        <f>[2]REF_TAB_PREÇOS_SANEPAR!I613</f>
        <v>576.29999999999995</v>
      </c>
      <c r="L180" s="468"/>
      <c r="M180" s="61">
        <f>IF(G180="", "", IFERROR(IF(G180="Mat", BDI!C$31, IF(G180="MO", BDI!C$17)), ""))</f>
        <v>0.24490000000000001</v>
      </c>
      <c r="N180" s="26">
        <f t="shared" si="10"/>
        <v>717.43586999999991</v>
      </c>
      <c r="O180" s="62">
        <f t="shared" si="11"/>
        <v>576.29999999999995</v>
      </c>
      <c r="P180" s="27">
        <f t="shared" si="12"/>
        <v>717.43586999999991</v>
      </c>
    </row>
    <row r="181" spans="2:16">
      <c r="B181" s="480" t="s">
        <v>130</v>
      </c>
      <c r="C181" s="487"/>
      <c r="D181" s="487"/>
      <c r="E181" s="480" t="s">
        <v>131</v>
      </c>
      <c r="F181" s="487"/>
      <c r="G181" s="21"/>
      <c r="H181" s="21"/>
      <c r="I181" s="21"/>
      <c r="J181" s="57" t="s">
        <v>28</v>
      </c>
      <c r="K181" s="467" t="str">
        <f>[2]REF_TAB_PREÇOS_SANEPAR!I619</f>
        <v/>
      </c>
      <c r="L181" s="471"/>
      <c r="M181" s="58" t="str">
        <f>IF(G181="", "", IFERROR(IF(G181="Mat", BDI!C$31, IF(G181="MO", BDI!C$17)), ""))</f>
        <v/>
      </c>
      <c r="N181" s="23"/>
      <c r="O181" s="59"/>
      <c r="P181" s="24">
        <f>P182</f>
        <v>65.693372999999994</v>
      </c>
    </row>
    <row r="182" spans="2:16">
      <c r="B182" s="505" t="s">
        <v>132</v>
      </c>
      <c r="C182" s="506"/>
      <c r="D182" s="506"/>
      <c r="E182" s="466" t="s">
        <v>133</v>
      </c>
      <c r="F182" s="481"/>
      <c r="G182" s="25" t="s">
        <v>29</v>
      </c>
      <c r="H182" s="25" t="s">
        <v>40</v>
      </c>
      <c r="I182" s="25">
        <v>1</v>
      </c>
      <c r="J182" s="60" t="s">
        <v>70</v>
      </c>
      <c r="K182" s="465">
        <f>[2]REF_TAB_PREÇOS_SANEPAR!I620</f>
        <v>52.77</v>
      </c>
      <c r="L182" s="468"/>
      <c r="M182" s="61">
        <f>IF(G182="", "", IFERROR(IF(G182="Mat", BDI!C$31, IF(G182="MO", BDI!C$17)), ""))</f>
        <v>0.24490000000000001</v>
      </c>
      <c r="N182" s="26">
        <f t="shared" si="10"/>
        <v>65.693372999999994</v>
      </c>
      <c r="O182" s="62">
        <f t="shared" si="11"/>
        <v>52.77</v>
      </c>
      <c r="P182" s="27">
        <f t="shared" si="12"/>
        <v>65.693372999999994</v>
      </c>
    </row>
    <row r="183" spans="2:16">
      <c r="B183" s="480" t="s">
        <v>134</v>
      </c>
      <c r="C183" s="487"/>
      <c r="D183" s="487"/>
      <c r="E183" s="480" t="s">
        <v>135</v>
      </c>
      <c r="F183" s="487"/>
      <c r="G183" s="21"/>
      <c r="H183" s="21"/>
      <c r="I183" s="21"/>
      <c r="J183" s="57" t="s">
        <v>28</v>
      </c>
      <c r="K183" s="467" t="str">
        <f>[2]REF_TAB_PREÇOS_SANEPAR!I646</f>
        <v/>
      </c>
      <c r="L183" s="471"/>
      <c r="M183" s="58" t="str">
        <f>IF(G183="", "", IFERROR(IF(G183="Mat", BDI!C$31, IF(G183="MO", BDI!C$17)), ""))</f>
        <v/>
      </c>
      <c r="N183" s="23"/>
      <c r="O183" s="59"/>
      <c r="P183" s="24">
        <f>P184</f>
        <v>280.787195</v>
      </c>
    </row>
    <row r="184" spans="2:16">
      <c r="B184" s="505" t="s">
        <v>136</v>
      </c>
      <c r="C184" s="506"/>
      <c r="D184" s="506"/>
      <c r="E184" s="466" t="s">
        <v>137</v>
      </c>
      <c r="F184" s="481"/>
      <c r="G184" s="25" t="s">
        <v>29</v>
      </c>
      <c r="H184" s="25" t="s">
        <v>40</v>
      </c>
      <c r="I184" s="25">
        <v>1</v>
      </c>
      <c r="J184" s="60" t="s">
        <v>30</v>
      </c>
      <c r="K184" s="465">
        <f>[2]REF_TAB_PREÇOS_SANEPAR!I648</f>
        <v>225.55</v>
      </c>
      <c r="L184" s="468"/>
      <c r="M184" s="61">
        <f>IF(G184="", "", IFERROR(IF(G184="Mat", BDI!C$31, IF(G184="MO", BDI!C$17)), ""))</f>
        <v>0.24490000000000001</v>
      </c>
      <c r="N184" s="26">
        <f>IF(K184="","",K184*(1+M184))</f>
        <v>280.787195</v>
      </c>
      <c r="O184" s="62">
        <f>K184*I184</f>
        <v>225.55</v>
      </c>
      <c r="P184" s="27">
        <f>N184*I184</f>
        <v>280.787195</v>
      </c>
    </row>
    <row r="185" spans="2:16">
      <c r="B185" s="509" t="s">
        <v>159</v>
      </c>
      <c r="C185" s="522"/>
      <c r="D185" s="522"/>
      <c r="E185" s="509" t="s">
        <v>160</v>
      </c>
      <c r="F185" s="522"/>
      <c r="G185" s="28"/>
      <c r="H185" s="28"/>
      <c r="I185" s="28"/>
      <c r="J185" s="64" t="s">
        <v>28</v>
      </c>
      <c r="K185" s="472" t="str">
        <f>[2]REF_TAB_PREÇOS_SANEPAR!I886</f>
        <v/>
      </c>
      <c r="L185" s="473"/>
      <c r="M185" s="65" t="str">
        <f>IF(G185="", "", IFERROR(IF(G185="Mat", BDI!C$31, IF(G185="MO", BDI!C$17)), ""))</f>
        <v/>
      </c>
      <c r="N185" s="29"/>
      <c r="O185" s="66"/>
      <c r="P185" s="30">
        <f>P186</f>
        <v>3162.5564089999993</v>
      </c>
    </row>
    <row r="186" spans="2:16">
      <c r="B186" s="480" t="s">
        <v>162</v>
      </c>
      <c r="C186" s="487"/>
      <c r="D186" s="487"/>
      <c r="E186" s="480" t="s">
        <v>163</v>
      </c>
      <c r="F186" s="487"/>
      <c r="G186" s="21"/>
      <c r="H186" s="21"/>
      <c r="I186" s="21"/>
      <c r="J186" s="57" t="s">
        <v>28</v>
      </c>
      <c r="K186" s="467" t="str">
        <f>[2]REF_TAB_PREÇOS_SANEPAR!I911</f>
        <v/>
      </c>
      <c r="L186" s="471"/>
      <c r="M186" s="58" t="str">
        <f>IF(G186="", "", IFERROR(IF(G186="Mat", BDI!C$31, IF(G186="MO", BDI!C$17)), ""))</f>
        <v/>
      </c>
      <c r="N186" s="23"/>
      <c r="O186" s="59"/>
      <c r="P186" s="24">
        <f>P187+P188+P189+P190</f>
        <v>3162.5564089999993</v>
      </c>
    </row>
    <row r="187" spans="2:16">
      <c r="B187" s="505" t="s">
        <v>164</v>
      </c>
      <c r="C187" s="506"/>
      <c r="D187" s="506"/>
      <c r="E187" s="466" t="s">
        <v>165</v>
      </c>
      <c r="F187" s="481"/>
      <c r="G187" s="25" t="s">
        <v>29</v>
      </c>
      <c r="H187" s="25" t="s">
        <v>40</v>
      </c>
      <c r="I187" s="25">
        <v>1</v>
      </c>
      <c r="J187" s="60" t="s">
        <v>70</v>
      </c>
      <c r="K187" s="465">
        <f>[2]REF_TAB_PREÇOS_SANEPAR!I918</f>
        <v>1471.57</v>
      </c>
      <c r="L187" s="468"/>
      <c r="M187" s="61">
        <f>IF(G187="", "", IFERROR(IF(G187="Mat", BDI!C$31, IF(G187="MO", BDI!C$17)), ""))</f>
        <v>0.24490000000000001</v>
      </c>
      <c r="N187" s="26">
        <f>IF(K187="","",K187*(1+M187))</f>
        <v>1831.9574929999997</v>
      </c>
      <c r="O187" s="62">
        <f>K187*I187</f>
        <v>1471.57</v>
      </c>
      <c r="P187" s="27">
        <f>N187*I187</f>
        <v>1831.9574929999997</v>
      </c>
    </row>
    <row r="188" spans="2:16">
      <c r="B188" s="492" t="s">
        <v>541</v>
      </c>
      <c r="C188" s="489"/>
      <c r="D188" s="489"/>
      <c r="E188" s="466" t="s">
        <v>542</v>
      </c>
      <c r="F188" s="466"/>
      <c r="G188" s="25" t="s">
        <v>29</v>
      </c>
      <c r="H188" s="25" t="s">
        <v>40</v>
      </c>
      <c r="I188" s="25">
        <v>1</v>
      </c>
      <c r="J188" s="60" t="s">
        <v>30</v>
      </c>
      <c r="K188" s="465">
        <v>100.39</v>
      </c>
      <c r="L188" s="465"/>
      <c r="M188" s="61">
        <f>IF(G188="", "", IFERROR(IF(G188="Mat", BDI!C$31, IF(G188="MO", BDI!C$17)), ""))</f>
        <v>0.24490000000000001</v>
      </c>
      <c r="N188" s="26">
        <f>IF(K188="","",K188*(1+M188))</f>
        <v>124.97551099999998</v>
      </c>
      <c r="O188" s="62">
        <f>K188*I188</f>
        <v>100.39</v>
      </c>
      <c r="P188" s="27">
        <f>N188*I188</f>
        <v>124.97551099999998</v>
      </c>
    </row>
    <row r="189" spans="2:16">
      <c r="B189" s="505" t="s">
        <v>166</v>
      </c>
      <c r="C189" s="506"/>
      <c r="D189" s="506"/>
      <c r="E189" s="466" t="s">
        <v>167</v>
      </c>
      <c r="F189" s="481"/>
      <c r="G189" s="25" t="s">
        <v>29</v>
      </c>
      <c r="H189" s="25" t="s">
        <v>40</v>
      </c>
      <c r="I189" s="25">
        <v>1</v>
      </c>
      <c r="J189" s="60" t="s">
        <v>70</v>
      </c>
      <c r="K189" s="465">
        <f>[2]REF_TAB_PREÇOS_SANEPAR!I938</f>
        <v>880.27</v>
      </c>
      <c r="L189" s="468"/>
      <c r="M189" s="61">
        <f>IF(G189="", "", IFERROR(IF(G189="Mat", BDI!C$31, IF(G189="MO", BDI!C$17)), ""))</f>
        <v>0.24490000000000001</v>
      </c>
      <c r="N189" s="26">
        <f>IF(K189="","",K189*(1+M189))</f>
        <v>1095.848123</v>
      </c>
      <c r="O189" s="62">
        <f>K189*I189</f>
        <v>880.27</v>
      </c>
      <c r="P189" s="27">
        <f>N189*I189</f>
        <v>1095.848123</v>
      </c>
    </row>
    <row r="190" spans="2:16">
      <c r="B190" s="505" t="s">
        <v>168</v>
      </c>
      <c r="C190" s="506"/>
      <c r="D190" s="506"/>
      <c r="E190" s="466" t="s">
        <v>161</v>
      </c>
      <c r="F190" s="481"/>
      <c r="G190" s="25" t="s">
        <v>29</v>
      </c>
      <c r="H190" s="25" t="s">
        <v>40</v>
      </c>
      <c r="I190" s="25">
        <v>1</v>
      </c>
      <c r="J190" s="60" t="s">
        <v>36</v>
      </c>
      <c r="K190" s="465">
        <f>[2]REF_TAB_PREÇOS_SANEPAR!I941</f>
        <v>88.18</v>
      </c>
      <c r="L190" s="468"/>
      <c r="M190" s="61">
        <f>IF(G190="", "", IFERROR(IF(G190="Mat", BDI!C$31, IF(G190="MO", BDI!C$17)), ""))</f>
        <v>0.24490000000000001</v>
      </c>
      <c r="N190" s="26">
        <f>IF(K190="","",K190*(1+M190))</f>
        <v>109.775282</v>
      </c>
      <c r="O190" s="62">
        <f>K190*I190</f>
        <v>88.18</v>
      </c>
      <c r="P190" s="27">
        <f>N190*I190</f>
        <v>109.775282</v>
      </c>
    </row>
    <row r="191" spans="2:16">
      <c r="B191" s="509" t="s">
        <v>169</v>
      </c>
      <c r="C191" s="522"/>
      <c r="D191" s="522"/>
      <c r="E191" s="509" t="s">
        <v>170</v>
      </c>
      <c r="F191" s="522"/>
      <c r="G191" s="28"/>
      <c r="H191" s="28"/>
      <c r="I191" s="28"/>
      <c r="J191" s="64" t="s">
        <v>28</v>
      </c>
      <c r="K191" s="472" t="str">
        <f>[2]REF_TAB_PREÇOS_SANEPAR!I1028</f>
        <v/>
      </c>
      <c r="L191" s="473"/>
      <c r="M191" s="65" t="str">
        <f>IF(G191="", "", IFERROR(IF(G191="Mat", BDI!C$31, IF(G191="MO", BDI!C$17)), ""))</f>
        <v/>
      </c>
      <c r="N191" s="29"/>
      <c r="O191" s="66"/>
      <c r="P191" s="30">
        <f>P192</f>
        <v>119.37346099999999</v>
      </c>
    </row>
    <row r="192" spans="2:16">
      <c r="B192" s="480" t="s">
        <v>171</v>
      </c>
      <c r="C192" s="487"/>
      <c r="D192" s="487"/>
      <c r="E192" s="480" t="s">
        <v>172</v>
      </c>
      <c r="F192" s="487"/>
      <c r="G192" s="21"/>
      <c r="H192" s="21"/>
      <c r="I192" s="21"/>
      <c r="J192" s="57" t="s">
        <v>28</v>
      </c>
      <c r="K192" s="467" t="str">
        <f>[2]REF_TAB_PREÇOS_SANEPAR!I1029</f>
        <v/>
      </c>
      <c r="L192" s="471"/>
      <c r="M192" s="58" t="str">
        <f>IF(G192="", "", IFERROR(IF(G192="Mat", BDI!C$31, IF(G192="MO", BDI!C$17)), ""))</f>
        <v/>
      </c>
      <c r="N192" s="23"/>
      <c r="O192" s="59"/>
      <c r="P192" s="24">
        <f>P193</f>
        <v>119.37346099999999</v>
      </c>
    </row>
    <row r="193" spans="2:16">
      <c r="B193" s="505" t="s">
        <v>173</v>
      </c>
      <c r="C193" s="506"/>
      <c r="D193" s="506"/>
      <c r="E193" s="466" t="s">
        <v>174</v>
      </c>
      <c r="F193" s="481"/>
      <c r="G193" s="25" t="s">
        <v>29</v>
      </c>
      <c r="H193" s="25" t="s">
        <v>40</v>
      </c>
      <c r="I193" s="25">
        <v>1</v>
      </c>
      <c r="J193" s="60" t="s">
        <v>30</v>
      </c>
      <c r="K193" s="465">
        <f>[2]REF_TAB_PREÇOS_SANEPAR!I1032</f>
        <v>95.89</v>
      </c>
      <c r="L193" s="468"/>
      <c r="M193" s="61">
        <f>IF(G193="", "", IFERROR(IF(G193="Mat", BDI!C$31, IF(G193="MO", BDI!C$17)), ""))</f>
        <v>0.24490000000000001</v>
      </c>
      <c r="N193" s="26">
        <f>IF(K193="","",K193*(1+M193))</f>
        <v>119.37346099999999</v>
      </c>
      <c r="O193" s="62">
        <f>K193*I193</f>
        <v>95.89</v>
      </c>
      <c r="P193" s="27">
        <f>N193*I193</f>
        <v>119.37346099999999</v>
      </c>
    </row>
    <row r="194" spans="2:16">
      <c r="B194" s="509" t="s">
        <v>175</v>
      </c>
      <c r="C194" s="522"/>
      <c r="D194" s="522"/>
      <c r="E194" s="509" t="s">
        <v>176</v>
      </c>
      <c r="F194" s="522"/>
      <c r="G194" s="28"/>
      <c r="H194" s="28"/>
      <c r="I194" s="28"/>
      <c r="J194" s="64" t="s">
        <v>28</v>
      </c>
      <c r="K194" s="472" t="str">
        <f>[2]REF_TAB_PREÇOS_SANEPAR!I1100</f>
        <v/>
      </c>
      <c r="L194" s="473"/>
      <c r="M194" s="65" t="str">
        <f>IF(G194="", "", IFERROR(IF(G194="Mat", BDI!C$31, IF(G194="MO", BDI!C$17)), ""))</f>
        <v/>
      </c>
      <c r="N194" s="29"/>
      <c r="O194" s="66"/>
      <c r="P194" s="30">
        <f>P195+P199</f>
        <v>272.53350799999998</v>
      </c>
    </row>
    <row r="195" spans="2:16">
      <c r="B195" s="480" t="s">
        <v>181</v>
      </c>
      <c r="C195" s="487"/>
      <c r="D195" s="487"/>
      <c r="E195" s="480" t="s">
        <v>182</v>
      </c>
      <c r="F195" s="487"/>
      <c r="G195" s="21"/>
      <c r="H195" s="21"/>
      <c r="I195" s="21"/>
      <c r="J195" s="57" t="s">
        <v>28</v>
      </c>
      <c r="K195" s="467" t="str">
        <f>[2]REF_TAB_PREÇOS_SANEPAR!I1124</f>
        <v/>
      </c>
      <c r="L195" s="471"/>
      <c r="M195" s="58" t="str">
        <f>IF(G195="", "", IFERROR(IF(G195="Mat", BDI!C$31, IF(G195="MO", BDI!C$17)), ""))</f>
        <v/>
      </c>
      <c r="N195" s="23"/>
      <c r="O195" s="59"/>
      <c r="P195" s="24">
        <f>P196+P197+P198</f>
        <v>136.291652</v>
      </c>
    </row>
    <row r="196" spans="2:16">
      <c r="B196" s="505" t="s">
        <v>183</v>
      </c>
      <c r="C196" s="506"/>
      <c r="D196" s="506"/>
      <c r="E196" s="466" t="s">
        <v>184</v>
      </c>
      <c r="F196" s="481"/>
      <c r="G196" s="25" t="s">
        <v>29</v>
      </c>
      <c r="H196" s="25" t="s">
        <v>40</v>
      </c>
      <c r="I196" s="25">
        <v>1</v>
      </c>
      <c r="J196" s="60" t="s">
        <v>30</v>
      </c>
      <c r="K196" s="465">
        <f>[2]REF_TAB_PREÇOS_SANEPAR!I1127</f>
        <v>17.54</v>
      </c>
      <c r="L196" s="468"/>
      <c r="M196" s="61">
        <f>IF(G196="", "", IFERROR(IF(G196="Mat", BDI!C$31, IF(G196="MO", BDI!C$17)), ""))</f>
        <v>0.24490000000000001</v>
      </c>
      <c r="N196" s="26">
        <f>IF(K196="","",K196*(1+M196))</f>
        <v>21.835545999999997</v>
      </c>
      <c r="O196" s="62">
        <f>K196*I196</f>
        <v>17.54</v>
      </c>
      <c r="P196" s="27">
        <f>N196*I196</f>
        <v>21.835545999999997</v>
      </c>
    </row>
    <row r="197" spans="2:16">
      <c r="B197" s="505" t="s">
        <v>185</v>
      </c>
      <c r="C197" s="506"/>
      <c r="D197" s="506"/>
      <c r="E197" s="466" t="s">
        <v>186</v>
      </c>
      <c r="F197" s="481"/>
      <c r="G197" s="25" t="s">
        <v>29</v>
      </c>
      <c r="H197" s="25" t="s">
        <v>40</v>
      </c>
      <c r="I197" s="25">
        <v>1</v>
      </c>
      <c r="J197" s="60" t="s">
        <v>30</v>
      </c>
      <c r="K197" s="465">
        <f>[2]REF_TAB_PREÇOS_SANEPAR!I1131</f>
        <v>52.02</v>
      </c>
      <c r="L197" s="468"/>
      <c r="M197" s="61">
        <f>IF(G197="", "", IFERROR(IF(G197="Mat", BDI!C$31, IF(G197="MO", BDI!C$17)), ""))</f>
        <v>0.24490000000000001</v>
      </c>
      <c r="N197" s="26">
        <f>IF(K197="","",K197*(1+M197))</f>
        <v>64.759698</v>
      </c>
      <c r="O197" s="62">
        <f>K197*I197</f>
        <v>52.02</v>
      </c>
      <c r="P197" s="27">
        <f>N197*I197</f>
        <v>64.759698</v>
      </c>
    </row>
    <row r="198" spans="2:16">
      <c r="B198" s="505" t="s">
        <v>187</v>
      </c>
      <c r="C198" s="506"/>
      <c r="D198" s="506"/>
      <c r="E198" s="466" t="s">
        <v>188</v>
      </c>
      <c r="F198" s="481"/>
      <c r="G198" s="25" t="s">
        <v>29</v>
      </c>
      <c r="H198" s="25" t="s">
        <v>40</v>
      </c>
      <c r="I198" s="25">
        <v>1</v>
      </c>
      <c r="J198" s="60" t="s">
        <v>30</v>
      </c>
      <c r="K198" s="465">
        <f>[2]REF_TAB_PREÇOS_SANEPAR!I1138</f>
        <v>39.92</v>
      </c>
      <c r="L198" s="468"/>
      <c r="M198" s="61">
        <f>IF(G198="", "", IFERROR(IF(G198="Mat", BDI!C$31, IF(G198="MO", BDI!C$17)), ""))</f>
        <v>0.24490000000000001</v>
      </c>
      <c r="N198" s="26">
        <f>IF(K198="","",K198*(1+M198))</f>
        <v>49.696407999999998</v>
      </c>
      <c r="O198" s="62">
        <f>K198*I198</f>
        <v>39.92</v>
      </c>
      <c r="P198" s="27">
        <f>N198*I198</f>
        <v>49.696407999999998</v>
      </c>
    </row>
    <row r="199" spans="2:16">
      <c r="B199" s="480" t="s">
        <v>189</v>
      </c>
      <c r="C199" s="487"/>
      <c r="D199" s="487"/>
      <c r="E199" s="480" t="s">
        <v>190</v>
      </c>
      <c r="F199" s="487"/>
      <c r="G199" s="21"/>
      <c r="H199" s="21"/>
      <c r="I199" s="21"/>
      <c r="J199" s="57" t="s">
        <v>28</v>
      </c>
      <c r="K199" s="467" t="str">
        <f>[2]REF_TAB_PREÇOS_SANEPAR!I1143</f>
        <v/>
      </c>
      <c r="L199" s="471"/>
      <c r="M199" s="58" t="str">
        <f>IF(G199="", "", IFERROR(IF(G199="Mat", BDI!C$31, IF(G199="MO", BDI!C$17)), ""))</f>
        <v/>
      </c>
      <c r="N199" s="23"/>
      <c r="O199" s="59"/>
      <c r="P199" s="24">
        <f>P200+P201+P202+P203+P204+P205</f>
        <v>136.24185599999996</v>
      </c>
    </row>
    <row r="200" spans="2:16">
      <c r="B200" s="505" t="s">
        <v>191</v>
      </c>
      <c r="C200" s="506"/>
      <c r="D200" s="506"/>
      <c r="E200" s="466" t="s">
        <v>192</v>
      </c>
      <c r="F200" s="481"/>
      <c r="G200" s="25" t="s">
        <v>29</v>
      </c>
      <c r="H200" s="25" t="s">
        <v>40</v>
      </c>
      <c r="I200" s="25">
        <v>1</v>
      </c>
      <c r="J200" s="60" t="s">
        <v>30</v>
      </c>
      <c r="K200" s="465">
        <f>[2]REF_TAB_PREÇOS_SANEPAR!I1145</f>
        <v>15.28</v>
      </c>
      <c r="L200" s="468"/>
      <c r="M200" s="61">
        <f>IF(G200="", "", IFERROR(IF(G200="Mat", BDI!C$31, IF(G200="MO", BDI!C$17)), ""))</f>
        <v>0.24490000000000001</v>
      </c>
      <c r="N200" s="26">
        <f t="shared" ref="N200:N205" si="13">IF(K200="","",K200*(1+M200))</f>
        <v>19.022071999999998</v>
      </c>
      <c r="O200" s="62">
        <f t="shared" ref="O200:O205" si="14">K200*I200</f>
        <v>15.28</v>
      </c>
      <c r="P200" s="27">
        <f t="shared" ref="P200:P205" si="15">N200*I200</f>
        <v>19.022071999999998</v>
      </c>
    </row>
    <row r="201" spans="2:16">
      <c r="B201" s="505" t="s">
        <v>193</v>
      </c>
      <c r="C201" s="506"/>
      <c r="D201" s="506"/>
      <c r="E201" s="466" t="s">
        <v>194</v>
      </c>
      <c r="F201" s="481"/>
      <c r="G201" s="25" t="s">
        <v>29</v>
      </c>
      <c r="H201" s="25" t="s">
        <v>40</v>
      </c>
      <c r="I201" s="25">
        <f>I200</f>
        <v>1</v>
      </c>
      <c r="J201" s="60" t="s">
        <v>30</v>
      </c>
      <c r="K201" s="465">
        <f>[2]REF_TAB_PREÇOS_SANEPAR!I1153</f>
        <v>9.33</v>
      </c>
      <c r="L201" s="468"/>
      <c r="M201" s="61">
        <f>IF(G201="", "", IFERROR(IF(G201="Mat", BDI!C$31, IF(G201="MO", BDI!C$17)), ""))</f>
        <v>0.24490000000000001</v>
      </c>
      <c r="N201" s="26">
        <f t="shared" si="13"/>
        <v>11.614916999999998</v>
      </c>
      <c r="O201" s="62">
        <f t="shared" si="14"/>
        <v>9.33</v>
      </c>
      <c r="P201" s="27">
        <f t="shared" si="15"/>
        <v>11.614916999999998</v>
      </c>
    </row>
    <row r="202" spans="2:16">
      <c r="B202" s="505" t="s">
        <v>195</v>
      </c>
      <c r="C202" s="506"/>
      <c r="D202" s="506"/>
      <c r="E202" s="466" t="s">
        <v>196</v>
      </c>
      <c r="F202" s="481"/>
      <c r="G202" s="25" t="s">
        <v>29</v>
      </c>
      <c r="H202" s="25" t="s">
        <v>40</v>
      </c>
      <c r="I202" s="25">
        <v>1</v>
      </c>
      <c r="J202" s="60" t="s">
        <v>30</v>
      </c>
      <c r="K202" s="465">
        <f>[2]REF_TAB_PREÇOS_SANEPAR!I1154</f>
        <v>10.79</v>
      </c>
      <c r="L202" s="468"/>
      <c r="M202" s="61">
        <f>IF(G202="", "", IFERROR(IF(G202="Mat", BDI!C$31, IF(G202="MO", BDI!C$17)), ""))</f>
        <v>0.24490000000000001</v>
      </c>
      <c r="N202" s="26">
        <f t="shared" si="13"/>
        <v>13.432470999999998</v>
      </c>
      <c r="O202" s="62">
        <f t="shared" si="14"/>
        <v>10.79</v>
      </c>
      <c r="P202" s="27">
        <f t="shared" si="15"/>
        <v>13.432470999999998</v>
      </c>
    </row>
    <row r="203" spans="2:16">
      <c r="B203" s="505" t="s">
        <v>197</v>
      </c>
      <c r="C203" s="506"/>
      <c r="D203" s="506"/>
      <c r="E203" s="466" t="s">
        <v>198</v>
      </c>
      <c r="F203" s="481"/>
      <c r="G203" s="25" t="s">
        <v>29</v>
      </c>
      <c r="H203" s="25" t="s">
        <v>40</v>
      </c>
      <c r="I203" s="25">
        <v>1</v>
      </c>
      <c r="J203" s="60" t="s">
        <v>30</v>
      </c>
      <c r="K203" s="465">
        <f>[2]REF_TAB_PREÇOS_SANEPAR!I1161</f>
        <v>23.82</v>
      </c>
      <c r="L203" s="468"/>
      <c r="M203" s="61">
        <f>IF(G203="", "", IFERROR(IF(G203="Mat", BDI!C$31, IF(G203="MO", BDI!C$17)), ""))</f>
        <v>0.24490000000000001</v>
      </c>
      <c r="N203" s="26">
        <f t="shared" si="13"/>
        <v>29.653517999999998</v>
      </c>
      <c r="O203" s="62">
        <f t="shared" si="14"/>
        <v>23.82</v>
      </c>
      <c r="P203" s="27">
        <f t="shared" si="15"/>
        <v>29.653517999999998</v>
      </c>
    </row>
    <row r="204" spans="2:16">
      <c r="B204" s="505" t="s">
        <v>199</v>
      </c>
      <c r="C204" s="506"/>
      <c r="D204" s="506"/>
      <c r="E204" s="466" t="s">
        <v>200</v>
      </c>
      <c r="F204" s="481"/>
      <c r="G204" s="25" t="s">
        <v>29</v>
      </c>
      <c r="H204" s="25" t="s">
        <v>40</v>
      </c>
      <c r="I204" s="25">
        <v>1</v>
      </c>
      <c r="J204" s="60" t="s">
        <v>30</v>
      </c>
      <c r="K204" s="465">
        <f>[2]REF_TAB_PREÇOS_SANEPAR!I1162</f>
        <v>26.34</v>
      </c>
      <c r="L204" s="468"/>
      <c r="M204" s="61">
        <f>IF(G204="", "", IFERROR(IF(G204="Mat", BDI!C$31, IF(G204="MO", BDI!C$17)), ""))</f>
        <v>0.24490000000000001</v>
      </c>
      <c r="N204" s="26">
        <f t="shared" si="13"/>
        <v>32.790665999999995</v>
      </c>
      <c r="O204" s="62">
        <f t="shared" si="14"/>
        <v>26.34</v>
      </c>
      <c r="P204" s="27">
        <f t="shared" si="15"/>
        <v>32.790665999999995</v>
      </c>
    </row>
    <row r="205" spans="2:16">
      <c r="B205" s="505" t="s">
        <v>201</v>
      </c>
      <c r="C205" s="506"/>
      <c r="D205" s="506"/>
      <c r="E205" s="466" t="s">
        <v>202</v>
      </c>
      <c r="F205" s="481"/>
      <c r="G205" s="25" t="s">
        <v>29</v>
      </c>
      <c r="H205" s="25" t="s">
        <v>40</v>
      </c>
      <c r="I205" s="25">
        <v>1</v>
      </c>
      <c r="J205" s="60" t="s">
        <v>30</v>
      </c>
      <c r="K205" s="465">
        <f>[2]REF_TAB_PREÇOS_SANEPAR!I1164</f>
        <v>23.88</v>
      </c>
      <c r="L205" s="468"/>
      <c r="M205" s="61">
        <f>IF(G205="", "", IFERROR(IF(G205="Mat", BDI!C$31, IF(G205="MO", BDI!C$17)), ""))</f>
        <v>0.24490000000000001</v>
      </c>
      <c r="N205" s="26">
        <f t="shared" si="13"/>
        <v>29.728211999999996</v>
      </c>
      <c r="O205" s="62">
        <f t="shared" si="14"/>
        <v>23.88</v>
      </c>
      <c r="P205" s="27">
        <f t="shared" si="15"/>
        <v>29.728211999999996</v>
      </c>
    </row>
    <row r="206" spans="2:16">
      <c r="B206" s="509" t="s">
        <v>271</v>
      </c>
      <c r="C206" s="522"/>
      <c r="D206" s="522"/>
      <c r="E206" s="509" t="s">
        <v>272</v>
      </c>
      <c r="F206" s="522"/>
      <c r="G206" s="28"/>
      <c r="H206" s="28"/>
      <c r="I206" s="28"/>
      <c r="J206" s="64" t="s">
        <v>28</v>
      </c>
      <c r="K206" s="472" t="str">
        <f>[2]REF_TAB_PREÇOS_SANEPAR!I2178</f>
        <v/>
      </c>
      <c r="L206" s="473"/>
      <c r="M206" s="65" t="str">
        <f>IF(G206="", "", IFERROR(IF(G206="Mat", BDI!C$31, IF(G206="MO", BDI!C$17)), ""))</f>
        <v/>
      </c>
      <c r="N206" s="29"/>
      <c r="O206" s="66"/>
      <c r="P206" s="30">
        <f>P207+P210+P212+P214</f>
        <v>90713.037077000001</v>
      </c>
    </row>
    <row r="207" spans="2:16">
      <c r="B207" s="480" t="s">
        <v>273</v>
      </c>
      <c r="C207" s="487"/>
      <c r="D207" s="487"/>
      <c r="E207" s="480" t="s">
        <v>274</v>
      </c>
      <c r="F207" s="487"/>
      <c r="G207" s="21"/>
      <c r="H207" s="21"/>
      <c r="I207" s="21"/>
      <c r="J207" s="57" t="s">
        <v>28</v>
      </c>
      <c r="K207" s="467" t="str">
        <f>[2]REF_TAB_PREÇOS_SANEPAR!I2179</f>
        <v/>
      </c>
      <c r="L207" s="471"/>
      <c r="M207" s="58" t="str">
        <f>IF(G207="", "", IFERROR(IF(G207="Mat", BDI!C$31, IF(G207="MO", BDI!C$17)), ""))</f>
        <v/>
      </c>
      <c r="N207" s="23"/>
      <c r="O207" s="59"/>
      <c r="P207" s="24">
        <f>P208+P209</f>
        <v>11638.856426999999</v>
      </c>
    </row>
    <row r="208" spans="2:16">
      <c r="B208" s="505" t="s">
        <v>275</v>
      </c>
      <c r="C208" s="506"/>
      <c r="D208" s="506"/>
      <c r="E208" s="466" t="s">
        <v>276</v>
      </c>
      <c r="F208" s="481"/>
      <c r="G208" s="25" t="s">
        <v>29</v>
      </c>
      <c r="H208" s="25" t="s">
        <v>40</v>
      </c>
      <c r="I208" s="25">
        <v>1</v>
      </c>
      <c r="J208" s="60" t="s">
        <v>31</v>
      </c>
      <c r="K208" s="465">
        <f>[2]REF_TAB_PREÇOS_SANEPAR!I2186</f>
        <v>9287.06</v>
      </c>
      <c r="L208" s="468"/>
      <c r="M208" s="61">
        <f>IF(G208="", "", IFERROR(IF(G208="Mat", BDI!C$31, IF(G208="MO", BDI!C$17)), ""))</f>
        <v>0.24490000000000001</v>
      </c>
      <c r="N208" s="26">
        <f>IF(K208="","",K208*(1+M208))</f>
        <v>11561.460993999999</v>
      </c>
      <c r="O208" s="62">
        <f>K208*I208</f>
        <v>9287.06</v>
      </c>
      <c r="P208" s="27">
        <f>N208*I208</f>
        <v>11561.460993999999</v>
      </c>
    </row>
    <row r="209" spans="2:16">
      <c r="B209" s="505" t="s">
        <v>277</v>
      </c>
      <c r="C209" s="506"/>
      <c r="D209" s="506"/>
      <c r="E209" s="466" t="s">
        <v>278</v>
      </c>
      <c r="F209" s="481"/>
      <c r="G209" s="25" t="s">
        <v>29</v>
      </c>
      <c r="H209" s="25" t="s">
        <v>40</v>
      </c>
      <c r="I209" s="25">
        <v>1</v>
      </c>
      <c r="J209" s="60" t="s">
        <v>36</v>
      </c>
      <c r="K209" s="465">
        <f>[2]REF_TAB_PREÇOS_SANEPAR!I2192</f>
        <v>62.17</v>
      </c>
      <c r="L209" s="468"/>
      <c r="M209" s="61">
        <f>IF(G209="", "", IFERROR(IF(G209="Mat", BDI!C$31, IF(G209="MO", BDI!C$17)), ""))</f>
        <v>0.24490000000000001</v>
      </c>
      <c r="N209" s="26">
        <f>IF(K209="","",K209*(1+M209))</f>
        <v>77.395432999999997</v>
      </c>
      <c r="O209" s="62">
        <f>K209*I209</f>
        <v>62.17</v>
      </c>
      <c r="P209" s="27">
        <f>N209*I209</f>
        <v>77.395432999999997</v>
      </c>
    </row>
    <row r="210" spans="2:16">
      <c r="B210" s="480" t="s">
        <v>279</v>
      </c>
      <c r="C210" s="487"/>
      <c r="D210" s="487"/>
      <c r="E210" s="480" t="s">
        <v>280</v>
      </c>
      <c r="F210" s="487"/>
      <c r="G210" s="21"/>
      <c r="H210" s="21"/>
      <c r="I210" s="21"/>
      <c r="J210" s="57" t="s">
        <v>28</v>
      </c>
      <c r="K210" s="467" t="str">
        <f>[2]REF_TAB_PREÇOS_SANEPAR!I2194</f>
        <v/>
      </c>
      <c r="L210" s="471"/>
      <c r="M210" s="58" t="str">
        <f>IF(G210="", "", IFERROR(IF(G210="Mat", BDI!C$31, IF(G210="MO", BDI!C$17)), ""))</f>
        <v/>
      </c>
      <c r="N210" s="23"/>
      <c r="O210" s="59"/>
      <c r="P210" s="24">
        <f>P211</f>
        <v>25.296367999999998</v>
      </c>
    </row>
    <row r="211" spans="2:16">
      <c r="B211" s="505" t="s">
        <v>281</v>
      </c>
      <c r="C211" s="506"/>
      <c r="D211" s="506"/>
      <c r="E211" s="466" t="s">
        <v>282</v>
      </c>
      <c r="F211" s="481"/>
      <c r="G211" s="25" t="s">
        <v>29</v>
      </c>
      <c r="H211" s="25" t="s">
        <v>40</v>
      </c>
      <c r="I211" s="25">
        <v>1</v>
      </c>
      <c r="J211" s="60" t="s">
        <v>30</v>
      </c>
      <c r="K211" s="465">
        <f>[2]REF_TAB_PREÇOS_SANEPAR!I2195</f>
        <v>20.32</v>
      </c>
      <c r="L211" s="468"/>
      <c r="M211" s="61">
        <f>IF(G211="", "", IFERROR(IF(G211="Mat", BDI!C$31, IF(G211="MO", BDI!C$17)), ""))</f>
        <v>0.24490000000000001</v>
      </c>
      <c r="N211" s="26">
        <f>IF(K211="","",K211*(1+M211))</f>
        <v>25.296367999999998</v>
      </c>
      <c r="O211" s="62">
        <f>K211*I211</f>
        <v>20.32</v>
      </c>
      <c r="P211" s="27">
        <f>N211*I211</f>
        <v>25.296367999999998</v>
      </c>
    </row>
    <row r="212" spans="2:16">
      <c r="B212" s="491" t="s">
        <v>400</v>
      </c>
      <c r="C212" s="495"/>
      <c r="D212" s="495"/>
      <c r="E212" s="491" t="s">
        <v>401</v>
      </c>
      <c r="F212" s="491"/>
      <c r="G212" s="48"/>
      <c r="H212" s="21"/>
      <c r="I212" s="21"/>
      <c r="J212" s="57"/>
      <c r="K212" s="467"/>
      <c r="L212" s="467"/>
      <c r="M212" s="58" t="str">
        <f>IF(G212="", "", IFERROR(IF(G212="Mat", BDI!C$31, IF(G212="MO", BDI!C$17)), ""))</f>
        <v/>
      </c>
      <c r="N212" s="23"/>
      <c r="O212" s="59"/>
      <c r="P212" s="35">
        <f>P213</f>
        <v>4887.1039299999993</v>
      </c>
    </row>
    <row r="213" spans="2:16">
      <c r="B213" s="488" t="s">
        <v>402</v>
      </c>
      <c r="C213" s="489"/>
      <c r="D213" s="489"/>
      <c r="E213" s="490" t="s">
        <v>403</v>
      </c>
      <c r="F213" s="490"/>
      <c r="G213" s="42" t="s">
        <v>29</v>
      </c>
      <c r="H213" s="25" t="s">
        <v>40</v>
      </c>
      <c r="I213" s="25">
        <f>185*2</f>
        <v>370</v>
      </c>
      <c r="J213" s="60" t="s">
        <v>53</v>
      </c>
      <c r="K213" s="469">
        <v>10.61</v>
      </c>
      <c r="L213" s="470"/>
      <c r="M213" s="61">
        <f>IF(G213="", "", IFERROR(IF(G213="Mat", BDI!C$31, IF(G213="MO", BDI!C$17)), ""))</f>
        <v>0.24490000000000001</v>
      </c>
      <c r="N213" s="26">
        <f>IF(K213="","",K213*(1+M213))</f>
        <v>13.208388999999999</v>
      </c>
      <c r="O213" s="62">
        <f>K213*I213</f>
        <v>3925.7</v>
      </c>
      <c r="P213" s="27">
        <f>N213*I213</f>
        <v>4887.1039299999993</v>
      </c>
    </row>
    <row r="214" spans="2:16">
      <c r="B214" s="478" t="s">
        <v>432</v>
      </c>
      <c r="C214" s="495"/>
      <c r="D214" s="495"/>
      <c r="E214" s="478" t="s">
        <v>284</v>
      </c>
      <c r="F214" s="478"/>
      <c r="G214" s="48"/>
      <c r="H214" s="21"/>
      <c r="I214" s="21"/>
      <c r="J214" s="57"/>
      <c r="K214" s="467"/>
      <c r="L214" s="467"/>
      <c r="M214" s="58" t="str">
        <f>IF(G214="", "", IFERROR(IF(G214="Mat", BDI!C$31, IF(G214="MO", BDI!C$17)), ""))</f>
        <v/>
      </c>
      <c r="N214" s="23"/>
      <c r="O214" s="59"/>
      <c r="P214" s="35">
        <f>P215+P216+P217+P218</f>
        <v>74161.780352000002</v>
      </c>
    </row>
    <row r="215" spans="2:16">
      <c r="B215" s="488" t="s">
        <v>433</v>
      </c>
      <c r="C215" s="489"/>
      <c r="D215" s="489"/>
      <c r="E215" s="490" t="s">
        <v>434</v>
      </c>
      <c r="F215" s="490"/>
      <c r="G215" s="42" t="s">
        <v>29</v>
      </c>
      <c r="H215" s="25" t="s">
        <v>40</v>
      </c>
      <c r="I215" s="75">
        <v>528</v>
      </c>
      <c r="J215" s="42" t="s">
        <v>97</v>
      </c>
      <c r="K215" s="469">
        <v>51.44</v>
      </c>
      <c r="L215" s="470"/>
      <c r="M215" s="61">
        <f>IF(G215="", "", IFERROR(IF(G215="Mat", BDI!C$31, IF(G215="MO", BDI!C$17)), ""))</f>
        <v>0.24490000000000001</v>
      </c>
      <c r="N215" s="26">
        <f>IF(K215="","",K215*(1+M215))</f>
        <v>64.037655999999998</v>
      </c>
      <c r="O215" s="62">
        <f>K215*I215</f>
        <v>27160.32</v>
      </c>
      <c r="P215" s="27">
        <f>N215*I215</f>
        <v>33811.882367999999</v>
      </c>
    </row>
    <row r="216" spans="2:16">
      <c r="B216" s="488" t="s">
        <v>435</v>
      </c>
      <c r="C216" s="489"/>
      <c r="D216" s="489"/>
      <c r="E216" s="490" t="s">
        <v>436</v>
      </c>
      <c r="F216" s="490"/>
      <c r="G216" s="42" t="s">
        <v>29</v>
      </c>
      <c r="H216" s="25" t="s">
        <v>40</v>
      </c>
      <c r="I216" s="75">
        <v>528</v>
      </c>
      <c r="J216" s="42" t="s">
        <v>97</v>
      </c>
      <c r="K216" s="469">
        <v>38.54</v>
      </c>
      <c r="L216" s="470"/>
      <c r="M216" s="61">
        <f>IF(G216="", "", IFERROR(IF(G216="Mat", BDI!C$31, IF(G216="MO", BDI!C$17)), ""))</f>
        <v>0.24490000000000001</v>
      </c>
      <c r="N216" s="26">
        <f>IF(K216="","",K216*(1+M216))</f>
        <v>47.978445999999998</v>
      </c>
      <c r="O216" s="62">
        <f>K216*I216</f>
        <v>20349.12</v>
      </c>
      <c r="P216" s="27">
        <f>N216*I216</f>
        <v>25332.619488</v>
      </c>
    </row>
    <row r="217" spans="2:16">
      <c r="B217" s="505" t="s">
        <v>296</v>
      </c>
      <c r="C217" s="506"/>
      <c r="D217" s="506"/>
      <c r="E217" s="466" t="s">
        <v>297</v>
      </c>
      <c r="F217" s="481"/>
      <c r="G217" s="25" t="s">
        <v>29</v>
      </c>
      <c r="H217" s="25" t="s">
        <v>40</v>
      </c>
      <c r="I217" s="25">
        <v>176</v>
      </c>
      <c r="J217" s="60" t="s">
        <v>97</v>
      </c>
      <c r="K217" s="465">
        <f>[2]REF_TAB_PREÇOS_SANEPAR!I2341</f>
        <v>38.479999999999997</v>
      </c>
      <c r="L217" s="468"/>
      <c r="M217" s="61">
        <f>IF(G217="", "", IFERROR(IF(G217="Mat", BDI!C$31, IF(G217="MO", BDI!C$17)), ""))</f>
        <v>0.24490000000000001</v>
      </c>
      <c r="N217" s="26">
        <f>IF(K217="","",K217*(1+M217))</f>
        <v>47.90375199999999</v>
      </c>
      <c r="O217" s="62">
        <f>K217*I217</f>
        <v>6772.48</v>
      </c>
      <c r="P217" s="27">
        <f>N217*I217</f>
        <v>8431.0603519999986</v>
      </c>
    </row>
    <row r="218" spans="2:16">
      <c r="B218" s="505" t="s">
        <v>294</v>
      </c>
      <c r="C218" s="506"/>
      <c r="D218" s="506"/>
      <c r="E218" s="466" t="s">
        <v>295</v>
      </c>
      <c r="F218" s="481"/>
      <c r="G218" s="25" t="s">
        <v>29</v>
      </c>
      <c r="H218" s="25" t="s">
        <v>40</v>
      </c>
      <c r="I218" s="25">
        <v>176</v>
      </c>
      <c r="J218" s="60" t="s">
        <v>97</v>
      </c>
      <c r="K218" s="465">
        <f>[2]REF_TAB_PREÇOS_SANEPAR!I2339</f>
        <v>30.06</v>
      </c>
      <c r="L218" s="468"/>
      <c r="M218" s="61">
        <f>IF(G218="", "", IFERROR(IF(G218="Mat", BDI!C$31, IF(G218="MO", BDI!C$17)), ""))</f>
        <v>0.24490000000000001</v>
      </c>
      <c r="N218" s="26">
        <f>IF(K218="","",K218*(1+M218))</f>
        <v>37.421693999999995</v>
      </c>
      <c r="O218" s="62">
        <f>K218*I218</f>
        <v>5290.5599999999995</v>
      </c>
      <c r="P218" s="27">
        <f>N218*I218</f>
        <v>6586.2181439999995</v>
      </c>
    </row>
    <row r="219" spans="2:16">
      <c r="B219" s="510" t="s">
        <v>449</v>
      </c>
      <c r="C219" s="511"/>
      <c r="D219" s="511"/>
      <c r="E219" s="509" t="s">
        <v>450</v>
      </c>
      <c r="F219" s="509"/>
      <c r="G219" s="37"/>
      <c r="H219" s="37"/>
      <c r="I219" s="37"/>
      <c r="J219" s="63"/>
      <c r="K219" s="474"/>
      <c r="L219" s="474"/>
      <c r="M219" s="65" t="str">
        <f>IF(G219="", "", IFERROR(IF(G219="Mat", BDI!C$31, IF(G219="MO", BDI!C$17)), ""))</f>
        <v/>
      </c>
      <c r="N219" s="38" t="str">
        <f>IF(K219="","",K219*(1+M219))</f>
        <v/>
      </c>
      <c r="O219" s="69"/>
      <c r="P219" s="85">
        <f>P222+P227+P229+P232+P235+P237+P240+P247+P249+P253+P255+P259+P264+P266+P268+P271+P275+P278+P251+P242</f>
        <v>41774.032298890001</v>
      </c>
    </row>
    <row r="220" spans="2:16">
      <c r="B220" s="515">
        <v>42006</v>
      </c>
      <c r="C220" s="516"/>
      <c r="D220" s="517"/>
      <c r="E220" s="518" t="s">
        <v>555</v>
      </c>
      <c r="F220" s="519"/>
      <c r="G220" s="39"/>
      <c r="H220" s="39"/>
      <c r="I220" s="39"/>
      <c r="J220" s="56"/>
      <c r="K220" s="70"/>
      <c r="L220" s="71"/>
      <c r="M220" s="58" t="str">
        <f>IF(G220="", "", IFERROR(IF(G220="Mat", BDI!C$31, IF(G220="MO", BDI!C$17)), ""))</f>
        <v/>
      </c>
      <c r="N220" s="49"/>
      <c r="O220" s="76"/>
      <c r="P220" s="35"/>
    </row>
    <row r="221" spans="2:16">
      <c r="B221" s="530">
        <v>42006001</v>
      </c>
      <c r="C221" s="531"/>
      <c r="D221" s="532"/>
      <c r="E221" s="483" t="s">
        <v>556</v>
      </c>
      <c r="F221" s="484"/>
      <c r="G221" s="25" t="s">
        <v>39</v>
      </c>
      <c r="H221" s="25" t="s">
        <v>40</v>
      </c>
      <c r="I221" s="25">
        <v>10</v>
      </c>
      <c r="J221" s="60" t="s">
        <v>31</v>
      </c>
      <c r="K221" s="485">
        <v>3.65</v>
      </c>
      <c r="L221" s="486"/>
      <c r="M221" s="61">
        <f>IF(G221="", "", IFERROR(IF(G221="Mat", BDI!C$31, IF(G221="MO", BDI!C$17)), ""))</f>
        <v>0.12989999999999999</v>
      </c>
      <c r="N221" s="26">
        <f>IF(K221="","",K221*(1+M221))</f>
        <v>4.1241349999999999</v>
      </c>
      <c r="O221" s="62">
        <f>K221*I221</f>
        <v>36.5</v>
      </c>
      <c r="P221" s="27">
        <f>N221*I221</f>
        <v>41.241349999999997</v>
      </c>
    </row>
    <row r="222" spans="2:16">
      <c r="B222" s="498" t="s">
        <v>453</v>
      </c>
      <c r="C222" s="489"/>
      <c r="D222" s="489"/>
      <c r="E222" s="480" t="s">
        <v>454</v>
      </c>
      <c r="F222" s="480"/>
      <c r="G222" s="21"/>
      <c r="H222" s="21"/>
      <c r="I222" s="21"/>
      <c r="J222" s="57"/>
      <c r="K222" s="507"/>
      <c r="L222" s="508"/>
      <c r="M222" s="58" t="str">
        <f>IF(G222="", "", IFERROR(IF(G222="Mat", BDI!C$31, IF(G222="MO", BDI!C$17)), ""))</f>
        <v/>
      </c>
      <c r="N222" s="23"/>
      <c r="O222" s="59"/>
      <c r="P222" s="35">
        <f>P223+P224+P225+P226</f>
        <v>1416.6347229999999</v>
      </c>
    </row>
    <row r="223" spans="2:16">
      <c r="B223" s="492" t="s">
        <v>451</v>
      </c>
      <c r="C223" s="489"/>
      <c r="D223" s="489"/>
      <c r="E223" s="490" t="s">
        <v>452</v>
      </c>
      <c r="F223" s="490"/>
      <c r="G223" s="42" t="s">
        <v>39</v>
      </c>
      <c r="H223" s="25" t="s">
        <v>40</v>
      </c>
      <c r="I223" s="86">
        <v>1</v>
      </c>
      <c r="J223" s="60" t="s">
        <v>36</v>
      </c>
      <c r="K223" s="465">
        <v>3.21</v>
      </c>
      <c r="L223" s="465"/>
      <c r="M223" s="61">
        <f>IF(G223="", "", IFERROR(IF(G223="Mat", BDI!C$31, IF(G223="MO", BDI!C$17)), ""))</f>
        <v>0.12989999999999999</v>
      </c>
      <c r="N223" s="26">
        <f t="shared" ref="N223:N228" si="16">IF(K223="","",K223*(1+M223))</f>
        <v>3.6269789999999995</v>
      </c>
      <c r="O223" s="62">
        <f>K223*I223</f>
        <v>3.21</v>
      </c>
      <c r="P223" s="27">
        <f>N223*I223</f>
        <v>3.6269789999999995</v>
      </c>
    </row>
    <row r="224" spans="2:16">
      <c r="B224" s="492">
        <v>42007074</v>
      </c>
      <c r="C224" s="489"/>
      <c r="D224" s="489"/>
      <c r="E224" s="490" t="s">
        <v>554</v>
      </c>
      <c r="F224" s="490"/>
      <c r="G224" s="42" t="s">
        <v>39</v>
      </c>
      <c r="H224" s="25" t="s">
        <v>40</v>
      </c>
      <c r="I224" s="86">
        <v>1</v>
      </c>
      <c r="J224" s="60" t="s">
        <v>36</v>
      </c>
      <c r="K224" s="465">
        <v>16.5</v>
      </c>
      <c r="L224" s="465"/>
      <c r="M224" s="61">
        <f>IF(G224="", "", IFERROR(IF(G224="Mat", BDI!C$31, IF(G224="MO", BDI!C$17)), ""))</f>
        <v>0.12989999999999999</v>
      </c>
      <c r="N224" s="26">
        <f t="shared" si="16"/>
        <v>18.643349999999998</v>
      </c>
      <c r="O224" s="62">
        <f>K224*I224</f>
        <v>16.5</v>
      </c>
      <c r="P224" s="27">
        <f>N224*I224</f>
        <v>18.643349999999998</v>
      </c>
    </row>
    <row r="225" spans="2:16">
      <c r="B225" s="492">
        <v>42007077</v>
      </c>
      <c r="C225" s="489"/>
      <c r="D225" s="489"/>
      <c r="E225" s="490" t="s">
        <v>553</v>
      </c>
      <c r="F225" s="490"/>
      <c r="G225" s="42" t="s">
        <v>39</v>
      </c>
      <c r="H225" s="25" t="s">
        <v>40</v>
      </c>
      <c r="I225" s="86">
        <v>1</v>
      </c>
      <c r="J225" s="60" t="s">
        <v>36</v>
      </c>
      <c r="K225" s="465">
        <v>117.06</v>
      </c>
      <c r="L225" s="465"/>
      <c r="M225" s="61">
        <f>IF(G225="", "", IFERROR(IF(G225="Mat", BDI!C$31, IF(G225="MO", BDI!C$17)), ""))</f>
        <v>0.12989999999999999</v>
      </c>
      <c r="N225" s="26">
        <f t="shared" si="16"/>
        <v>132.26609399999998</v>
      </c>
      <c r="O225" s="62">
        <f>K225*I225</f>
        <v>117.06</v>
      </c>
      <c r="P225" s="27">
        <f>N225*I225</f>
        <v>132.26609399999998</v>
      </c>
    </row>
    <row r="226" spans="2:16">
      <c r="B226" s="488" t="s">
        <v>455</v>
      </c>
      <c r="C226" s="489"/>
      <c r="D226" s="489"/>
      <c r="E226" s="466" t="s">
        <v>456</v>
      </c>
      <c r="F226" s="466"/>
      <c r="G226" s="42" t="s">
        <v>39</v>
      </c>
      <c r="H226" s="25" t="s">
        <v>40</v>
      </c>
      <c r="I226" s="25">
        <v>20</v>
      </c>
      <c r="J226" s="60" t="s">
        <v>36</v>
      </c>
      <c r="K226" s="465">
        <v>55.85</v>
      </c>
      <c r="L226" s="465"/>
      <c r="M226" s="61">
        <f>IF(G226="", "", IFERROR(IF(G226="Mat", BDI!C$31, IF(G226="MO", BDI!C$17)), ""))</f>
        <v>0.12989999999999999</v>
      </c>
      <c r="N226" s="26">
        <f t="shared" si="16"/>
        <v>63.104914999999998</v>
      </c>
      <c r="O226" s="62">
        <f>K226*I226</f>
        <v>1117</v>
      </c>
      <c r="P226" s="27">
        <f>N226*I226</f>
        <v>1262.0982999999999</v>
      </c>
    </row>
    <row r="227" spans="2:16">
      <c r="B227" s="478" t="s">
        <v>457</v>
      </c>
      <c r="C227" s="495"/>
      <c r="D227" s="495"/>
      <c r="E227" s="480" t="s">
        <v>458</v>
      </c>
      <c r="F227" s="480"/>
      <c r="G227" s="21"/>
      <c r="H227" s="21"/>
      <c r="I227" s="21"/>
      <c r="J227" s="57"/>
      <c r="K227" s="467"/>
      <c r="L227" s="467"/>
      <c r="M227" s="58" t="str">
        <f>IF(G227="", "", IFERROR(IF(G227="Mat", BDI!C$31, IF(G227="MO", BDI!C$17)), ""))</f>
        <v/>
      </c>
      <c r="N227" s="23" t="str">
        <f t="shared" si="16"/>
        <v/>
      </c>
      <c r="O227" s="59"/>
      <c r="P227" s="35">
        <f>P228</f>
        <v>1985.0083199999999</v>
      </c>
    </row>
    <row r="228" spans="2:16">
      <c r="B228" s="492" t="s">
        <v>459</v>
      </c>
      <c r="C228" s="489"/>
      <c r="D228" s="489"/>
      <c r="E228" s="466" t="s">
        <v>460</v>
      </c>
      <c r="F228" s="466"/>
      <c r="G228" s="25" t="s">
        <v>39</v>
      </c>
      <c r="H228" s="25" t="s">
        <v>40</v>
      </c>
      <c r="I228" s="25">
        <v>180</v>
      </c>
      <c r="J228" s="60" t="s">
        <v>36</v>
      </c>
      <c r="K228" s="465">
        <v>9.76</v>
      </c>
      <c r="L228" s="465"/>
      <c r="M228" s="61">
        <f>IF(G228="", "", IFERROR(IF(G228="Mat", BDI!C$31, IF(G228="MO", BDI!C$17)), ""))</f>
        <v>0.12989999999999999</v>
      </c>
      <c r="N228" s="26">
        <f t="shared" si="16"/>
        <v>11.027823999999999</v>
      </c>
      <c r="O228" s="62">
        <f>K228*I228</f>
        <v>1756.8</v>
      </c>
      <c r="P228" s="27">
        <f>N228*I228</f>
        <v>1985.0083199999999</v>
      </c>
    </row>
    <row r="229" spans="2:16">
      <c r="B229" s="478" t="s">
        <v>469</v>
      </c>
      <c r="C229" s="495"/>
      <c r="D229" s="495"/>
      <c r="E229" s="480" t="s">
        <v>470</v>
      </c>
      <c r="F229" s="480"/>
      <c r="G229" s="21"/>
      <c r="H229" s="21"/>
      <c r="I229" s="21"/>
      <c r="J229" s="57"/>
      <c r="K229" s="467"/>
      <c r="L229" s="467"/>
      <c r="M229" s="58" t="str">
        <f>IF(G229="", "", IFERROR(IF(G229="Mat", BDI!C$31, IF(G229="MO", BDI!C$17)), ""))</f>
        <v/>
      </c>
      <c r="N229" s="23"/>
      <c r="O229" s="59"/>
      <c r="P229" s="35">
        <f>P230+P231</f>
        <v>714.77473999999984</v>
      </c>
    </row>
    <row r="230" spans="2:16">
      <c r="B230" s="492" t="s">
        <v>471</v>
      </c>
      <c r="C230" s="489"/>
      <c r="D230" s="489"/>
      <c r="E230" s="466" t="s">
        <v>472</v>
      </c>
      <c r="F230" s="466"/>
      <c r="G230" s="25" t="s">
        <v>39</v>
      </c>
      <c r="H230" s="25" t="s">
        <v>40</v>
      </c>
      <c r="I230" s="25">
        <v>8</v>
      </c>
      <c r="J230" s="60" t="s">
        <v>31</v>
      </c>
      <c r="K230" s="465">
        <v>63.26</v>
      </c>
      <c r="L230" s="465"/>
      <c r="M230" s="61">
        <f>IF(G230="", "", IFERROR(IF(G230="Mat", BDI!C$31, IF(G230="MO", BDI!C$17)), ""))</f>
        <v>0.12989999999999999</v>
      </c>
      <c r="N230" s="26">
        <f>IF(K230="","",K230*(1+M230))</f>
        <v>71.477473999999987</v>
      </c>
      <c r="O230" s="62">
        <f>K230*I230</f>
        <v>506.08</v>
      </c>
      <c r="P230" s="27">
        <f>N230*I230</f>
        <v>571.81979199999989</v>
      </c>
    </row>
    <row r="231" spans="2:16">
      <c r="B231" s="492" t="s">
        <v>473</v>
      </c>
      <c r="C231" s="489"/>
      <c r="D231" s="489"/>
      <c r="E231" s="466" t="s">
        <v>474</v>
      </c>
      <c r="F231" s="466"/>
      <c r="G231" s="25" t="s">
        <v>39</v>
      </c>
      <c r="H231" s="25" t="s">
        <v>40</v>
      </c>
      <c r="I231" s="25">
        <v>2</v>
      </c>
      <c r="J231" s="60" t="s">
        <v>31</v>
      </c>
      <c r="K231" s="465">
        <v>63.26</v>
      </c>
      <c r="L231" s="465"/>
      <c r="M231" s="61">
        <f>IF(G231="", "", IFERROR(IF(G231="Mat", BDI!C$31, IF(G231="MO", BDI!C$17)), ""))</f>
        <v>0.12989999999999999</v>
      </c>
      <c r="N231" s="26">
        <f>IF(K231="","",K231*(1+M231))</f>
        <v>71.477473999999987</v>
      </c>
      <c r="O231" s="62">
        <f>K231*I231</f>
        <v>126.52</v>
      </c>
      <c r="P231" s="27">
        <f>N231*I231</f>
        <v>142.95494799999997</v>
      </c>
    </row>
    <row r="232" spans="2:16">
      <c r="B232" s="491" t="s">
        <v>483</v>
      </c>
      <c r="C232" s="495"/>
      <c r="D232" s="495"/>
      <c r="E232" s="480" t="s">
        <v>484</v>
      </c>
      <c r="F232" s="480"/>
      <c r="G232" s="21"/>
      <c r="H232" s="21"/>
      <c r="I232" s="21"/>
      <c r="J232" s="57"/>
      <c r="K232" s="467"/>
      <c r="L232" s="467"/>
      <c r="M232" s="58" t="str">
        <f>IF(G232="", "", IFERROR(IF(G232="Mat", BDI!C$31, IF(G232="MO", BDI!C$17)), ""))</f>
        <v/>
      </c>
      <c r="N232" s="23"/>
      <c r="O232" s="59"/>
      <c r="P232" s="35">
        <f>P233+P234</f>
        <v>53.726744999999987</v>
      </c>
    </row>
    <row r="233" spans="2:16">
      <c r="B233" s="492" t="s">
        <v>485</v>
      </c>
      <c r="C233" s="489"/>
      <c r="D233" s="489"/>
      <c r="E233" s="466" t="s">
        <v>486</v>
      </c>
      <c r="F233" s="466"/>
      <c r="G233" s="25" t="s">
        <v>39</v>
      </c>
      <c r="H233" s="25" t="s">
        <v>40</v>
      </c>
      <c r="I233" s="25">
        <v>5</v>
      </c>
      <c r="J233" s="60" t="s">
        <v>31</v>
      </c>
      <c r="K233" s="465">
        <v>9.11</v>
      </c>
      <c r="L233" s="465"/>
      <c r="M233" s="61">
        <f>IF(G233="", "", IFERROR(IF(G233="Mat", BDI!C$31, IF(G233="MO", BDI!C$17)), ""))</f>
        <v>0.12989999999999999</v>
      </c>
      <c r="N233" s="26">
        <f>IF(K233="","",K233*(1+M233))</f>
        <v>10.293388999999998</v>
      </c>
      <c r="O233" s="62">
        <f>K233*I233</f>
        <v>45.55</v>
      </c>
      <c r="P233" s="27">
        <f>N233*I233</f>
        <v>51.466944999999988</v>
      </c>
    </row>
    <row r="234" spans="2:16">
      <c r="B234" s="504">
        <v>19059</v>
      </c>
      <c r="C234" s="502"/>
      <c r="D234" s="503"/>
      <c r="E234" s="483" t="s">
        <v>561</v>
      </c>
      <c r="F234" s="484"/>
      <c r="G234" s="25" t="s">
        <v>39</v>
      </c>
      <c r="H234" s="25" t="s">
        <v>40</v>
      </c>
      <c r="I234" s="25">
        <v>2</v>
      </c>
      <c r="J234" s="60" t="s">
        <v>31</v>
      </c>
      <c r="K234" s="465">
        <v>1</v>
      </c>
      <c r="L234" s="465"/>
      <c r="M234" s="61">
        <f>IF(G234="", "", IFERROR(IF(G234="Mat", BDI!C$31, IF(G234="MO", BDI!C$17)), ""))</f>
        <v>0.12989999999999999</v>
      </c>
      <c r="N234" s="26">
        <f>IF(K234="","",K234*(1+M234))</f>
        <v>1.1298999999999999</v>
      </c>
      <c r="O234" s="62">
        <f>K234*I234</f>
        <v>2</v>
      </c>
      <c r="P234" s="27">
        <f>N234*I234</f>
        <v>2.2597999999999998</v>
      </c>
    </row>
    <row r="235" spans="2:16">
      <c r="B235" s="491" t="s">
        <v>495</v>
      </c>
      <c r="C235" s="479"/>
      <c r="D235" s="479"/>
      <c r="E235" s="480" t="s">
        <v>496</v>
      </c>
      <c r="F235" s="480"/>
      <c r="G235" s="39"/>
      <c r="H235" s="39"/>
      <c r="I235" s="39"/>
      <c r="J235" s="56"/>
      <c r="K235" s="477"/>
      <c r="L235" s="477"/>
      <c r="M235" s="58" t="str">
        <f>IF(G235="", "", IFERROR(IF(G235="Mat", BDI!C$31, IF(G235="MO", BDI!C$17)), ""))</f>
        <v/>
      </c>
      <c r="N235" s="49"/>
      <c r="O235" s="76"/>
      <c r="P235" s="35">
        <f>P236</f>
        <v>1049.7335949999999</v>
      </c>
    </row>
    <row r="236" spans="2:16">
      <c r="B236" s="488">
        <v>42018017</v>
      </c>
      <c r="C236" s="489"/>
      <c r="D236" s="489"/>
      <c r="E236" s="466" t="s">
        <v>497</v>
      </c>
      <c r="F236" s="466"/>
      <c r="G236" s="25" t="s">
        <v>39</v>
      </c>
      <c r="H236" s="25" t="s">
        <v>40</v>
      </c>
      <c r="I236" s="25">
        <v>5</v>
      </c>
      <c r="J236" s="60" t="s">
        <v>31</v>
      </c>
      <c r="K236" s="465">
        <v>185.81</v>
      </c>
      <c r="L236" s="465"/>
      <c r="M236" s="61">
        <f>IF(G236="", "", IFERROR(IF(G236="Mat", BDI!C$31, IF(G236="MO", BDI!C$17)), ""))</f>
        <v>0.12989999999999999</v>
      </c>
      <c r="N236" s="26">
        <f>IF(K236="","",K236*(1+M236))</f>
        <v>209.94671899999997</v>
      </c>
      <c r="O236" s="62">
        <f>K236*I236</f>
        <v>929.05</v>
      </c>
      <c r="P236" s="27">
        <f>N236*I236</f>
        <v>1049.7335949999999</v>
      </c>
    </row>
    <row r="237" spans="2:16">
      <c r="B237" s="491" t="s">
        <v>465</v>
      </c>
      <c r="C237" s="495"/>
      <c r="D237" s="495"/>
      <c r="E237" s="480" t="s">
        <v>466</v>
      </c>
      <c r="F237" s="480"/>
      <c r="G237" s="21"/>
      <c r="H237" s="21"/>
      <c r="I237" s="21"/>
      <c r="J237" s="57"/>
      <c r="K237" s="467"/>
      <c r="L237" s="467"/>
      <c r="M237" s="58" t="str">
        <f>IF(G237="", "", IFERROR(IF(G237="Mat", BDI!C$31, IF(G237="MO", BDI!C$17)), ""))</f>
        <v/>
      </c>
      <c r="N237" s="23"/>
      <c r="O237" s="59"/>
      <c r="P237" s="35">
        <f>P239</f>
        <v>3943.0685249999992</v>
      </c>
    </row>
    <row r="238" spans="2:16">
      <c r="B238" s="530">
        <v>42024001</v>
      </c>
      <c r="C238" s="531"/>
      <c r="D238" s="532"/>
      <c r="E238" s="483" t="s">
        <v>562</v>
      </c>
      <c r="F238" s="484"/>
      <c r="G238" s="25" t="s">
        <v>39</v>
      </c>
      <c r="H238" s="25" t="s">
        <v>40</v>
      </c>
      <c r="I238" s="25">
        <v>3</v>
      </c>
      <c r="J238" s="60" t="s">
        <v>31</v>
      </c>
      <c r="K238" s="485">
        <v>73.14</v>
      </c>
      <c r="L238" s="486"/>
      <c r="M238" s="61">
        <f>IF(G238="", "", IFERROR(IF(G238="Mat", BDI!C$31, IF(G238="MO", BDI!C$17)), ""))</f>
        <v>0.12989999999999999</v>
      </c>
      <c r="N238" s="26">
        <f>IF(K238="","",K238*(1+M238))</f>
        <v>82.640885999999995</v>
      </c>
      <c r="O238" s="62">
        <f>K238*I238</f>
        <v>219.42000000000002</v>
      </c>
      <c r="P238" s="27">
        <f>N238*I238</f>
        <v>247.92265799999998</v>
      </c>
    </row>
    <row r="239" spans="2:16">
      <c r="B239" s="488" t="s">
        <v>467</v>
      </c>
      <c r="C239" s="489"/>
      <c r="D239" s="489"/>
      <c r="E239" s="466" t="s">
        <v>468</v>
      </c>
      <c r="F239" s="466"/>
      <c r="G239" s="25" t="s">
        <v>39</v>
      </c>
      <c r="H239" s="25" t="s">
        <v>40</v>
      </c>
      <c r="I239" s="25">
        <v>15</v>
      </c>
      <c r="J239" s="60" t="s">
        <v>31</v>
      </c>
      <c r="K239" s="465">
        <v>232.65</v>
      </c>
      <c r="L239" s="465"/>
      <c r="M239" s="61">
        <f>IF(G239="", "", IFERROR(IF(G239="Mat", BDI!C$31, IF(G239="MO", BDI!C$17)), ""))</f>
        <v>0.12989999999999999</v>
      </c>
      <c r="N239" s="26">
        <f>IF(K239="","",K239*(1+M239))</f>
        <v>262.87123499999996</v>
      </c>
      <c r="O239" s="62">
        <f>K239*I239</f>
        <v>3489.75</v>
      </c>
      <c r="P239" s="27">
        <f>N239*I239</f>
        <v>3943.0685249999992</v>
      </c>
    </row>
    <row r="240" spans="2:16">
      <c r="B240" s="498" t="s">
        <v>461</v>
      </c>
      <c r="C240" s="489"/>
      <c r="D240" s="489"/>
      <c r="E240" s="480" t="s">
        <v>462</v>
      </c>
      <c r="F240" s="480"/>
      <c r="G240" s="21"/>
      <c r="H240" s="21"/>
      <c r="I240" s="21"/>
      <c r="J240" s="57"/>
      <c r="K240" s="467"/>
      <c r="L240" s="467"/>
      <c r="M240" s="58" t="str">
        <f>IF(G240="", "", IFERROR(IF(G240="Mat", BDI!C$31, IF(G240="MO", BDI!C$17)), ""))</f>
        <v/>
      </c>
      <c r="N240" s="23" t="str">
        <f>IF(K240="","",K240*(1+M240))</f>
        <v/>
      </c>
      <c r="O240" s="59"/>
      <c r="P240" s="35">
        <f>P241</f>
        <v>1357.2358799999997</v>
      </c>
    </row>
    <row r="241" spans="2:16">
      <c r="B241" s="492" t="s">
        <v>463</v>
      </c>
      <c r="C241" s="489"/>
      <c r="D241" s="489"/>
      <c r="E241" s="466" t="s">
        <v>464</v>
      </c>
      <c r="F241" s="466"/>
      <c r="G241" s="25" t="s">
        <v>39</v>
      </c>
      <c r="H241" s="25" t="s">
        <v>40</v>
      </c>
      <c r="I241" s="25">
        <v>140</v>
      </c>
      <c r="J241" s="60" t="s">
        <v>36</v>
      </c>
      <c r="K241" s="465">
        <v>8.58</v>
      </c>
      <c r="L241" s="465"/>
      <c r="M241" s="61">
        <f>IF(G241="", "", IFERROR(IF(G241="Mat", BDI!C$31, IF(G241="MO", BDI!C$17)), ""))</f>
        <v>0.12989999999999999</v>
      </c>
      <c r="N241" s="26">
        <f>IF(K241="","",K241*(1+M241))</f>
        <v>9.6945419999999984</v>
      </c>
      <c r="O241" s="62">
        <f>K241*I241</f>
        <v>1201.2</v>
      </c>
      <c r="P241" s="27">
        <f>N241*I241</f>
        <v>1357.2358799999997</v>
      </c>
    </row>
    <row r="242" spans="2:16">
      <c r="B242" s="515">
        <v>42030</v>
      </c>
      <c r="C242" s="516"/>
      <c r="D242" s="517"/>
      <c r="E242" s="518" t="s">
        <v>492</v>
      </c>
      <c r="F242" s="519"/>
      <c r="G242" s="39"/>
      <c r="H242" s="39"/>
      <c r="I242" s="39"/>
      <c r="J242" s="56"/>
      <c r="K242" s="499"/>
      <c r="L242" s="500"/>
      <c r="M242" s="58" t="str">
        <f>IF(G242="", "", IFERROR(IF(G242="Mat", BDI!C$31, IF(G242="MO", BDI!C$17)), ""))</f>
        <v/>
      </c>
      <c r="N242" s="49"/>
      <c r="O242" s="76"/>
      <c r="P242" s="35">
        <f>P243+P244+P245+P246</f>
        <v>110.30083799999997</v>
      </c>
    </row>
    <row r="243" spans="2:16">
      <c r="B243" s="501">
        <v>42030077</v>
      </c>
      <c r="C243" s="502"/>
      <c r="D243" s="503"/>
      <c r="E243" s="483" t="s">
        <v>563</v>
      </c>
      <c r="F243" s="484"/>
      <c r="G243" s="25" t="s">
        <v>39</v>
      </c>
      <c r="H243" s="25" t="s">
        <v>40</v>
      </c>
      <c r="I243" s="25">
        <v>6</v>
      </c>
      <c r="J243" s="60" t="s">
        <v>31</v>
      </c>
      <c r="K243" s="485">
        <v>3.43</v>
      </c>
      <c r="L243" s="486"/>
      <c r="M243" s="61">
        <f>IF(G243="", "", IFERROR(IF(G243="Mat", BDI!C$31, IF(G243="MO", BDI!C$17)), ""))</f>
        <v>0.12989999999999999</v>
      </c>
      <c r="N243" s="26">
        <f>IF(K243="","",K243*(1+M243))</f>
        <v>3.8755569999999997</v>
      </c>
      <c r="O243" s="62">
        <f>K243*I243</f>
        <v>20.580000000000002</v>
      </c>
      <c r="P243" s="27">
        <f>N243*I243</f>
        <v>23.253341999999996</v>
      </c>
    </row>
    <row r="244" spans="2:16">
      <c r="B244" s="492" t="s">
        <v>568</v>
      </c>
      <c r="C244" s="325"/>
      <c r="D244" s="325"/>
      <c r="E244" s="483" t="s">
        <v>569</v>
      </c>
      <c r="F244" s="484"/>
      <c r="G244" s="25" t="s">
        <v>39</v>
      </c>
      <c r="H244" s="25" t="s">
        <v>40</v>
      </c>
      <c r="I244" s="25">
        <v>2</v>
      </c>
      <c r="J244" s="60" t="s">
        <v>31</v>
      </c>
      <c r="K244" s="485">
        <v>12.84</v>
      </c>
      <c r="L244" s="486"/>
      <c r="M244" s="61">
        <f>IF(G244="", "", IFERROR(IF(G244="Mat", BDI!C$31, IF(G244="MO", BDI!C$17)), ""))</f>
        <v>0.12989999999999999</v>
      </c>
      <c r="N244" s="26">
        <f>IF(K244="","",K244*(1+M244))</f>
        <v>14.507915999999998</v>
      </c>
      <c r="O244" s="62">
        <f>K244*I244</f>
        <v>25.68</v>
      </c>
      <c r="P244" s="27">
        <f>N244*I244</f>
        <v>29.015831999999996</v>
      </c>
    </row>
    <row r="245" spans="2:16">
      <c r="B245" s="488" t="s">
        <v>564</v>
      </c>
      <c r="C245" s="489"/>
      <c r="D245" s="489"/>
      <c r="E245" s="483" t="s">
        <v>566</v>
      </c>
      <c r="F245" s="484"/>
      <c r="G245" s="25" t="s">
        <v>39</v>
      </c>
      <c r="H245" s="25" t="s">
        <v>40</v>
      </c>
      <c r="I245" s="25">
        <v>2</v>
      </c>
      <c r="J245" s="60" t="s">
        <v>31</v>
      </c>
      <c r="K245" s="485">
        <v>12.84</v>
      </c>
      <c r="L245" s="486"/>
      <c r="M245" s="61">
        <f>IF(G245="", "", IFERROR(IF(G245="Mat", BDI!C$31, IF(G245="MO", BDI!C$17)), ""))</f>
        <v>0.12989999999999999</v>
      </c>
      <c r="N245" s="26">
        <f>IF(K245="","",K245*(1+M245))</f>
        <v>14.507915999999998</v>
      </c>
      <c r="O245" s="62">
        <f>K245*I245</f>
        <v>25.68</v>
      </c>
      <c r="P245" s="27">
        <f>N245*I245</f>
        <v>29.015831999999996</v>
      </c>
    </row>
    <row r="246" spans="2:16">
      <c r="B246" s="488" t="s">
        <v>565</v>
      </c>
      <c r="C246" s="489"/>
      <c r="D246" s="489"/>
      <c r="E246" s="483" t="s">
        <v>567</v>
      </c>
      <c r="F246" s="484"/>
      <c r="G246" s="25" t="s">
        <v>39</v>
      </c>
      <c r="H246" s="25" t="s">
        <v>40</v>
      </c>
      <c r="I246" s="25">
        <v>2</v>
      </c>
      <c r="J246" s="60" t="s">
        <v>31</v>
      </c>
      <c r="K246" s="485">
        <v>12.84</v>
      </c>
      <c r="L246" s="486"/>
      <c r="M246" s="61">
        <f>IF(G246="", "", IFERROR(IF(G246="Mat", BDI!C$31, IF(G246="MO", BDI!C$17)), ""))</f>
        <v>0.12989999999999999</v>
      </c>
      <c r="N246" s="26">
        <f>IF(K246="","",K246*(1+M246))</f>
        <v>14.507915999999998</v>
      </c>
      <c r="O246" s="62">
        <f>K246*I246</f>
        <v>25.68</v>
      </c>
      <c r="P246" s="27">
        <f>N246*I246</f>
        <v>29.015831999999996</v>
      </c>
    </row>
    <row r="247" spans="2:16">
      <c r="B247" s="491" t="s">
        <v>491</v>
      </c>
      <c r="C247" s="495"/>
      <c r="D247" s="495"/>
      <c r="E247" s="480" t="s">
        <v>492</v>
      </c>
      <c r="F247" s="480"/>
      <c r="G247" s="21"/>
      <c r="H247" s="21"/>
      <c r="I247" s="21"/>
      <c r="J247" s="57"/>
      <c r="K247" s="467"/>
      <c r="L247" s="467"/>
      <c r="M247" s="58" t="str">
        <f>IF(G247="", "", IFERROR(IF(G247="Mat", BDI!C$31, IF(G247="MO", BDI!C$17)), ""))</f>
        <v/>
      </c>
      <c r="N247" s="23"/>
      <c r="O247" s="59"/>
      <c r="P247" s="35">
        <f>P248</f>
        <v>4360.7812560000002</v>
      </c>
    </row>
    <row r="248" spans="2:16">
      <c r="B248" s="492" t="s">
        <v>493</v>
      </c>
      <c r="C248" s="489"/>
      <c r="D248" s="489"/>
      <c r="E248" s="466" t="s">
        <v>494</v>
      </c>
      <c r="F248" s="466"/>
      <c r="G248" s="25" t="s">
        <v>39</v>
      </c>
      <c r="H248" s="25" t="s">
        <v>40</v>
      </c>
      <c r="I248" s="25">
        <v>6</v>
      </c>
      <c r="J248" s="60" t="s">
        <v>31</v>
      </c>
      <c r="K248" s="465">
        <v>643.24</v>
      </c>
      <c r="L248" s="465"/>
      <c r="M248" s="61">
        <f>IF(G248="", "", IFERROR(IF(G248="Mat", BDI!C$31, IF(G248="MO", BDI!C$17)), ""))</f>
        <v>0.12989999999999999</v>
      </c>
      <c r="N248" s="26">
        <f>IF(K248="","",K248*(1+M248))</f>
        <v>726.796876</v>
      </c>
      <c r="O248" s="62">
        <f>K248*I248</f>
        <v>3859.44</v>
      </c>
      <c r="P248" s="27">
        <f>N248*I248</f>
        <v>4360.7812560000002</v>
      </c>
    </row>
    <row r="249" spans="2:16">
      <c r="B249" s="498" t="s">
        <v>487</v>
      </c>
      <c r="C249" s="489"/>
      <c r="D249" s="489"/>
      <c r="E249" s="480" t="s">
        <v>488</v>
      </c>
      <c r="F249" s="480"/>
      <c r="G249" s="21"/>
      <c r="H249" s="21"/>
      <c r="I249" s="21"/>
      <c r="J249" s="57"/>
      <c r="K249" s="467"/>
      <c r="L249" s="467"/>
      <c r="M249" s="58" t="str">
        <f>IF(G249="", "", IFERROR(IF(G249="Mat", BDI!C$31, IF(G249="MO", BDI!C$17)), ""))</f>
        <v/>
      </c>
      <c r="N249" s="23"/>
      <c r="O249" s="59"/>
      <c r="P249" s="35">
        <f>P250</f>
        <v>1703.6971170000002</v>
      </c>
    </row>
    <row r="250" spans="2:16">
      <c r="B250" s="492" t="s">
        <v>489</v>
      </c>
      <c r="C250" s="489"/>
      <c r="D250" s="489"/>
      <c r="E250" s="466" t="s">
        <v>490</v>
      </c>
      <c r="F250" s="466"/>
      <c r="G250" s="25" t="s">
        <v>39</v>
      </c>
      <c r="H250" s="25" t="s">
        <v>40</v>
      </c>
      <c r="I250" s="25">
        <v>3</v>
      </c>
      <c r="J250" s="60" t="s">
        <v>31</v>
      </c>
      <c r="K250" s="465">
        <v>502.61</v>
      </c>
      <c r="L250" s="465"/>
      <c r="M250" s="61">
        <f>IF(G250="", "", IFERROR(IF(G250="Mat", BDI!C$31, IF(G250="MO", BDI!C$17)), ""))</f>
        <v>0.12989999999999999</v>
      </c>
      <c r="N250" s="26">
        <f>IF(K250="","",K250*(1+M250))</f>
        <v>567.89903900000002</v>
      </c>
      <c r="O250" s="62">
        <f>K250*I250</f>
        <v>1507.83</v>
      </c>
      <c r="P250" s="27">
        <f>N250*I250</f>
        <v>1703.6971170000002</v>
      </c>
    </row>
    <row r="251" spans="2:16" ht="14.45" customHeight="1">
      <c r="B251" s="512" t="s">
        <v>557</v>
      </c>
      <c r="C251" s="513"/>
      <c r="D251" s="514"/>
      <c r="E251" s="512" t="s">
        <v>558</v>
      </c>
      <c r="F251" s="513"/>
      <c r="G251" s="17"/>
      <c r="H251" s="21"/>
      <c r="I251" s="21"/>
      <c r="J251" s="57"/>
      <c r="K251" s="467"/>
      <c r="L251" s="467"/>
      <c r="M251" s="58" t="str">
        <f>IF(G251="", "", IFERROR(IF(G251="Mat", BDI!C$31, IF(G251="MO", BDI!C$17)), ""))</f>
        <v/>
      </c>
      <c r="N251" s="23"/>
      <c r="O251" s="59"/>
      <c r="P251" s="35">
        <f>P252</f>
        <v>31.863179999999996</v>
      </c>
    </row>
    <row r="252" spans="2:16">
      <c r="B252" s="501">
        <v>42035003</v>
      </c>
      <c r="C252" s="502"/>
      <c r="D252" s="503"/>
      <c r="E252" s="483" t="s">
        <v>559</v>
      </c>
      <c r="F252" s="484"/>
      <c r="G252" s="25" t="s">
        <v>39</v>
      </c>
      <c r="H252" s="25" t="s">
        <v>40</v>
      </c>
      <c r="I252" s="25">
        <v>2</v>
      </c>
      <c r="J252" s="60" t="s">
        <v>31</v>
      </c>
      <c r="K252" s="485">
        <v>14.1</v>
      </c>
      <c r="L252" s="486"/>
      <c r="M252" s="61">
        <f>IF(G252="", "", IFERROR(IF(G252="Mat", BDI!C$31, IF(G252="MO", BDI!C$17)), ""))</f>
        <v>0.12989999999999999</v>
      </c>
      <c r="N252" s="26">
        <f>IF(K252="","",K252*(1+M252))</f>
        <v>15.931589999999998</v>
      </c>
      <c r="O252" s="62">
        <f>K252*I252</f>
        <v>28.2</v>
      </c>
      <c r="P252" s="27">
        <f>N252*I252</f>
        <v>31.863179999999996</v>
      </c>
    </row>
    <row r="253" spans="2:16">
      <c r="B253" s="491" t="s">
        <v>475</v>
      </c>
      <c r="C253" s="495"/>
      <c r="D253" s="495"/>
      <c r="E253" s="480" t="s">
        <v>476</v>
      </c>
      <c r="F253" s="480"/>
      <c r="G253" s="21"/>
      <c r="H253" s="21"/>
      <c r="I253" s="21"/>
      <c r="J253" s="57"/>
      <c r="K253" s="467"/>
      <c r="L253" s="467"/>
      <c r="M253" s="58" t="str">
        <f>IF(G253="", "", IFERROR(IF(G253="Mat", BDI!C$31, IF(G253="MO", BDI!C$17)), ""))</f>
        <v/>
      </c>
      <c r="N253" s="23" t="str">
        <f>IF(K253="","",K253*(1+M253))</f>
        <v/>
      </c>
      <c r="O253" s="59"/>
      <c r="P253" s="35">
        <f>P254</f>
        <v>3005.4549069999998</v>
      </c>
    </row>
    <row r="254" spans="2:16">
      <c r="B254" s="488" t="s">
        <v>477</v>
      </c>
      <c r="C254" s="489"/>
      <c r="D254" s="489"/>
      <c r="E254" s="466" t="s">
        <v>478</v>
      </c>
      <c r="F254" s="466"/>
      <c r="G254" s="25" t="s">
        <v>39</v>
      </c>
      <c r="H254" s="25" t="s">
        <v>40</v>
      </c>
      <c r="I254" s="25">
        <v>7</v>
      </c>
      <c r="J254" s="60" t="s">
        <v>31</v>
      </c>
      <c r="K254" s="465">
        <v>379.99</v>
      </c>
      <c r="L254" s="465"/>
      <c r="M254" s="61">
        <f>IF(G254="", "", IFERROR(IF(G254="Mat", BDI!C$31, IF(G254="MO", BDI!C$17)), ""))</f>
        <v>0.12989999999999999</v>
      </c>
      <c r="N254" s="26">
        <f>IF(K254="","",K254*(1+M254))</f>
        <v>429.35070099999996</v>
      </c>
      <c r="O254" s="62">
        <f>K254*I254</f>
        <v>2659.9300000000003</v>
      </c>
      <c r="P254" s="27">
        <f>N254*I254</f>
        <v>3005.4549069999998</v>
      </c>
    </row>
    <row r="255" spans="2:16">
      <c r="B255" s="478" t="s">
        <v>499</v>
      </c>
      <c r="C255" s="479"/>
      <c r="D255" s="479"/>
      <c r="E255" s="480" t="s">
        <v>500</v>
      </c>
      <c r="F255" s="480"/>
      <c r="G255" s="39"/>
      <c r="H255" s="39"/>
      <c r="I255" s="39"/>
      <c r="J255" s="56"/>
      <c r="K255" s="477"/>
      <c r="L255" s="477"/>
      <c r="M255" s="58" t="str">
        <f>IF(G255="", "", IFERROR(IF(G255="Mat", BDI!C$31, IF(G255="MO", BDI!C$17)), ""))</f>
        <v/>
      </c>
      <c r="N255" s="49"/>
      <c r="O255" s="76"/>
      <c r="P255" s="35">
        <f>P256+P257+P258</f>
        <v>61.150187999999993</v>
      </c>
    </row>
    <row r="256" spans="2:16">
      <c r="B256" s="492" t="s">
        <v>501</v>
      </c>
      <c r="C256" s="489"/>
      <c r="D256" s="489"/>
      <c r="E256" s="466" t="s">
        <v>502</v>
      </c>
      <c r="F256" s="466"/>
      <c r="G256" s="25" t="s">
        <v>39</v>
      </c>
      <c r="H256" s="25" t="s">
        <v>40</v>
      </c>
      <c r="I256" s="25">
        <v>1</v>
      </c>
      <c r="J256" s="60" t="s">
        <v>31</v>
      </c>
      <c r="K256" s="465">
        <v>25.24</v>
      </c>
      <c r="L256" s="465"/>
      <c r="M256" s="61">
        <f>IF(G256="", "", IFERROR(IF(G256="Mat", BDI!C$31, IF(G256="MO", BDI!C$17)), ""))</f>
        <v>0.12989999999999999</v>
      </c>
      <c r="N256" s="26">
        <f>IF(K256="","",K256*(1+M256))</f>
        <v>28.518675999999996</v>
      </c>
      <c r="O256" s="62">
        <f>K256*I256</f>
        <v>25.24</v>
      </c>
      <c r="P256" s="27">
        <f>N256*I256</f>
        <v>28.518675999999996</v>
      </c>
    </row>
    <row r="257" spans="2:16">
      <c r="B257" s="488" t="s">
        <v>503</v>
      </c>
      <c r="C257" s="489"/>
      <c r="D257" s="489"/>
      <c r="E257" s="466" t="s">
        <v>504</v>
      </c>
      <c r="F257" s="466"/>
      <c r="G257" s="25" t="s">
        <v>39</v>
      </c>
      <c r="H257" s="25" t="s">
        <v>40</v>
      </c>
      <c r="I257" s="25">
        <v>1</v>
      </c>
      <c r="J257" s="60" t="s">
        <v>31</v>
      </c>
      <c r="K257" s="465">
        <v>5</v>
      </c>
      <c r="L257" s="465"/>
      <c r="M257" s="61">
        <f>IF(G257="", "", IFERROR(IF(G257="Mat", BDI!C$31, IF(G257="MO", BDI!C$17)), ""))</f>
        <v>0.12989999999999999</v>
      </c>
      <c r="N257" s="26">
        <f>IF(K257="","",K257*(1+M257))</f>
        <v>5.6494999999999997</v>
      </c>
      <c r="O257" s="62">
        <f>K257*I257</f>
        <v>5</v>
      </c>
      <c r="P257" s="27">
        <f>N257*I257</f>
        <v>5.6494999999999997</v>
      </c>
    </row>
    <row r="258" spans="2:16">
      <c r="B258" s="488" t="s">
        <v>505</v>
      </c>
      <c r="C258" s="489"/>
      <c r="D258" s="489"/>
      <c r="E258" s="466" t="s">
        <v>506</v>
      </c>
      <c r="F258" s="466"/>
      <c r="G258" s="25" t="s">
        <v>39</v>
      </c>
      <c r="H258" s="25" t="s">
        <v>40</v>
      </c>
      <c r="I258" s="25">
        <v>1</v>
      </c>
      <c r="J258" s="60" t="s">
        <v>31</v>
      </c>
      <c r="K258" s="465">
        <v>23.88</v>
      </c>
      <c r="L258" s="465"/>
      <c r="M258" s="61">
        <f>IF(G258="", "", IFERROR(IF(G258="Mat", BDI!C$31, IF(G258="MO", BDI!C$17)), ""))</f>
        <v>0.12989999999999999</v>
      </c>
      <c r="N258" s="26">
        <f>IF(K258="","",K258*(1+M258))</f>
        <v>26.982011999999997</v>
      </c>
      <c r="O258" s="62">
        <f>K258*I258</f>
        <v>23.88</v>
      </c>
      <c r="P258" s="27">
        <f>N258*I258</f>
        <v>26.982011999999997</v>
      </c>
    </row>
    <row r="259" spans="2:16">
      <c r="B259" s="478" t="s">
        <v>527</v>
      </c>
      <c r="C259" s="479"/>
      <c r="D259" s="479"/>
      <c r="E259" s="480" t="s">
        <v>528</v>
      </c>
      <c r="F259" s="480"/>
      <c r="G259" s="39"/>
      <c r="H259" s="39"/>
      <c r="I259" s="39"/>
      <c r="J259" s="56"/>
      <c r="K259" s="477"/>
      <c r="L259" s="477"/>
      <c r="M259" s="58" t="str">
        <f>IF(G259="", "", IFERROR(IF(G259="Mat", BDI!C$31, IF(G259="MO", BDI!C$17)), ""))</f>
        <v/>
      </c>
      <c r="N259" s="49"/>
      <c r="O259" s="76"/>
      <c r="P259" s="35">
        <f>P260+P261+P262+P263</f>
        <v>8208.2037459999992</v>
      </c>
    </row>
    <row r="260" spans="2:16">
      <c r="B260" s="492" t="s">
        <v>529</v>
      </c>
      <c r="C260" s="489"/>
      <c r="D260" s="489"/>
      <c r="E260" s="466" t="s">
        <v>530</v>
      </c>
      <c r="F260" s="466"/>
      <c r="G260" s="25" t="s">
        <v>39</v>
      </c>
      <c r="H260" s="25" t="s">
        <v>40</v>
      </c>
      <c r="I260" s="25">
        <v>1</v>
      </c>
      <c r="J260" s="60" t="s">
        <v>31</v>
      </c>
      <c r="K260" s="465">
        <v>7257.54</v>
      </c>
      <c r="L260" s="465"/>
      <c r="M260" s="61">
        <f>IF(G260="", "", IFERROR(IF(G260="Mat", BDI!C$31, IF(G260="MO", BDI!C$17)), ""))</f>
        <v>0.12989999999999999</v>
      </c>
      <c r="N260" s="26">
        <f>IF(K260="","",K260*(1+M260))</f>
        <v>8200.2944459999999</v>
      </c>
      <c r="O260" s="62">
        <f>K260*I260</f>
        <v>7257.54</v>
      </c>
      <c r="P260" s="27">
        <f>N260*I260</f>
        <v>8200.2944459999999</v>
      </c>
    </row>
    <row r="261" spans="2:16">
      <c r="B261" s="476" t="s">
        <v>519</v>
      </c>
      <c r="C261" s="476"/>
      <c r="D261" s="476"/>
      <c r="E261" s="466" t="s">
        <v>523</v>
      </c>
      <c r="F261" s="466"/>
      <c r="G261" s="25" t="s">
        <v>39</v>
      </c>
      <c r="H261" s="25" t="s">
        <v>308</v>
      </c>
      <c r="I261" s="25">
        <v>1</v>
      </c>
      <c r="J261" s="60" t="s">
        <v>31</v>
      </c>
      <c r="K261" s="465">
        <v>1</v>
      </c>
      <c r="L261" s="465"/>
      <c r="M261" s="61">
        <f>IF(G261="", "", IFERROR(IF(G261="Mat", BDI!C$31, IF(G261="MO", BDI!C$17)), ""))</f>
        <v>0.12989999999999999</v>
      </c>
      <c r="N261" s="26">
        <f>IF(K261="","",K261*(1+M261))</f>
        <v>1.1298999999999999</v>
      </c>
      <c r="O261" s="62">
        <f>K261*I261</f>
        <v>1</v>
      </c>
      <c r="P261" s="27">
        <f>N261*I261</f>
        <v>1.1298999999999999</v>
      </c>
    </row>
    <row r="262" spans="2:16">
      <c r="B262" s="476" t="s">
        <v>520</v>
      </c>
      <c r="C262" s="476"/>
      <c r="D262" s="476"/>
      <c r="E262" s="466" t="s">
        <v>524</v>
      </c>
      <c r="F262" s="466"/>
      <c r="G262" s="25" t="s">
        <v>39</v>
      </c>
      <c r="H262" s="25" t="s">
        <v>308</v>
      </c>
      <c r="I262" s="25">
        <v>5</v>
      </c>
      <c r="J262" s="60" t="s">
        <v>31</v>
      </c>
      <c r="K262" s="465">
        <v>1</v>
      </c>
      <c r="L262" s="465"/>
      <c r="M262" s="61">
        <f>IF(G262="", "", IFERROR(IF(G262="Mat", BDI!C$31, IF(G262="MO", BDI!C$17)), ""))</f>
        <v>0.12989999999999999</v>
      </c>
      <c r="N262" s="26">
        <f>IF(K262="","",K262*(1+M262))</f>
        <v>1.1298999999999999</v>
      </c>
      <c r="O262" s="62">
        <f>K262*I262</f>
        <v>5</v>
      </c>
      <c r="P262" s="27">
        <f>N262*I262</f>
        <v>5.6494999999999997</v>
      </c>
    </row>
    <row r="263" spans="2:16">
      <c r="B263" s="476" t="s">
        <v>526</v>
      </c>
      <c r="C263" s="476"/>
      <c r="D263" s="476"/>
      <c r="E263" s="466" t="s">
        <v>525</v>
      </c>
      <c r="F263" s="466"/>
      <c r="G263" s="25" t="s">
        <v>39</v>
      </c>
      <c r="H263" s="25" t="s">
        <v>308</v>
      </c>
      <c r="I263" s="25">
        <v>1</v>
      </c>
      <c r="J263" s="60" t="s">
        <v>31</v>
      </c>
      <c r="K263" s="465">
        <v>1</v>
      </c>
      <c r="L263" s="465"/>
      <c r="M263" s="61">
        <f>IF(G263="", "", IFERROR(IF(G263="Mat", BDI!C$31, IF(G263="MO", BDI!C$17)), ""))</f>
        <v>0.12989999999999999</v>
      </c>
      <c r="N263" s="26">
        <f>IF(K263="","",K263*(1+M263))</f>
        <v>1.1298999999999999</v>
      </c>
      <c r="O263" s="62">
        <f>K263*I263</f>
        <v>1</v>
      </c>
      <c r="P263" s="27">
        <f>N263*I263</f>
        <v>1.1298999999999999</v>
      </c>
    </row>
    <row r="264" spans="2:16">
      <c r="B264" s="491" t="s">
        <v>479</v>
      </c>
      <c r="C264" s="479"/>
      <c r="D264" s="479"/>
      <c r="E264" s="480" t="s">
        <v>480</v>
      </c>
      <c r="F264" s="480"/>
      <c r="G264" s="39"/>
      <c r="H264" s="39"/>
      <c r="I264" s="39"/>
      <c r="J264" s="56"/>
      <c r="K264" s="499"/>
      <c r="L264" s="500"/>
      <c r="M264" s="58" t="str">
        <f>IF(G264="", "", IFERROR(IF(G264="Mat", BDI!C$31, IF(G264="MO", BDI!C$17)), ""))</f>
        <v/>
      </c>
      <c r="N264" s="45"/>
      <c r="O264" s="72"/>
      <c r="P264" s="22">
        <f>P265</f>
        <v>112.01610199999999</v>
      </c>
    </row>
    <row r="265" spans="2:16">
      <c r="B265" s="492" t="s">
        <v>481</v>
      </c>
      <c r="C265" s="489"/>
      <c r="D265" s="489"/>
      <c r="E265" s="466" t="s">
        <v>482</v>
      </c>
      <c r="F265" s="466"/>
      <c r="G265" s="25" t="s">
        <v>29</v>
      </c>
      <c r="H265" s="25" t="s">
        <v>40</v>
      </c>
      <c r="I265" s="25">
        <v>1</v>
      </c>
      <c r="J265" s="60" t="s">
        <v>31</v>
      </c>
      <c r="K265" s="465">
        <v>89.98</v>
      </c>
      <c r="L265" s="465"/>
      <c r="M265" s="61">
        <f>IF(G265="", "", IFERROR(IF(G265="Mat", BDI!C$31, IF(G265="MO", BDI!C$17)), ""))</f>
        <v>0.24490000000000001</v>
      </c>
      <c r="N265" s="26">
        <f>IF(K265="","",K265*(1+M265))</f>
        <v>112.01610199999999</v>
      </c>
      <c r="O265" s="62">
        <f>K265*I265</f>
        <v>89.98</v>
      </c>
      <c r="P265" s="27">
        <f>N265*I265</f>
        <v>112.01610199999999</v>
      </c>
    </row>
    <row r="266" spans="2:16">
      <c r="B266" s="478" t="s">
        <v>404</v>
      </c>
      <c r="C266" s="495"/>
      <c r="D266" s="495"/>
      <c r="E266" s="478" t="s">
        <v>405</v>
      </c>
      <c r="F266" s="495"/>
      <c r="G266" s="495"/>
      <c r="H266" s="21"/>
      <c r="I266" s="21"/>
      <c r="J266" s="57"/>
      <c r="K266" s="467"/>
      <c r="L266" s="467"/>
      <c r="M266" s="58" t="str">
        <f>IF(G266="", "", IFERROR(IF(G266="Mat", BDI!C$31, IF(G266="MO", BDI!C$17)), ""))</f>
        <v/>
      </c>
      <c r="N266" s="23"/>
      <c r="O266" s="59"/>
      <c r="P266" s="35">
        <f>P267</f>
        <v>4319.3672849999994</v>
      </c>
    </row>
    <row r="267" spans="2:16">
      <c r="B267" s="488" t="s">
        <v>406</v>
      </c>
      <c r="C267" s="489"/>
      <c r="D267" s="489"/>
      <c r="E267" s="490" t="s">
        <v>407</v>
      </c>
      <c r="F267" s="490"/>
      <c r="G267" s="42" t="s">
        <v>29</v>
      </c>
      <c r="H267" s="25" t="s">
        <v>40</v>
      </c>
      <c r="I267" s="50">
        <v>1</v>
      </c>
      <c r="J267" s="50" t="s">
        <v>31</v>
      </c>
      <c r="K267" s="496">
        <v>3469.65</v>
      </c>
      <c r="L267" s="497"/>
      <c r="M267" s="61">
        <f>IF(G267="", "", IFERROR(IF(G267="Mat", BDI!C$31, IF(G267="MO", BDI!C$17)), ""))</f>
        <v>0.24490000000000001</v>
      </c>
      <c r="N267" s="26">
        <f>IF(K267="","",K267*(1+M267))</f>
        <v>4319.3672849999994</v>
      </c>
      <c r="O267" s="62">
        <f>K267*I267</f>
        <v>3469.65</v>
      </c>
      <c r="P267" s="27">
        <f>N267*I267</f>
        <v>4319.3672849999994</v>
      </c>
    </row>
    <row r="268" spans="2:16">
      <c r="B268" s="478" t="s">
        <v>408</v>
      </c>
      <c r="C268" s="495"/>
      <c r="D268" s="495"/>
      <c r="E268" s="478" t="s">
        <v>409</v>
      </c>
      <c r="F268" s="478"/>
      <c r="G268" s="48"/>
      <c r="H268" s="79" t="s">
        <v>28</v>
      </c>
      <c r="I268" s="493" t="s">
        <v>28</v>
      </c>
      <c r="J268" s="494"/>
      <c r="K268" s="467"/>
      <c r="L268" s="467"/>
      <c r="M268" s="58" t="str">
        <f>IF(G268="", "", IFERROR(IF(G268="Mat", BDI!C$31, IF(G268="MO", BDI!C$17)), ""))</f>
        <v/>
      </c>
      <c r="N268" s="23" t="str">
        <f>IF(K268="","",K268*(1+M268))</f>
        <v/>
      </c>
      <c r="O268" s="59"/>
      <c r="P268" s="35">
        <f>P269+P270</f>
        <v>3870.12781589</v>
      </c>
    </row>
    <row r="269" spans="2:16">
      <c r="B269" s="488" t="s">
        <v>410</v>
      </c>
      <c r="C269" s="489"/>
      <c r="D269" s="489"/>
      <c r="E269" s="466" t="s">
        <v>411</v>
      </c>
      <c r="F269" s="466"/>
      <c r="G269" s="25" t="s">
        <v>29</v>
      </c>
      <c r="H269" s="25" t="s">
        <v>40</v>
      </c>
      <c r="I269" s="25">
        <f>140+15</f>
        <v>155</v>
      </c>
      <c r="J269" s="60" t="s">
        <v>36</v>
      </c>
      <c r="K269" s="465">
        <v>20.010000000000002</v>
      </c>
      <c r="L269" s="465"/>
      <c r="M269" s="61">
        <f>IF(G269="", "", IFERROR(IF(G269="Mat", BDI!C$31, IF(G269="MO", BDI!C$17)), ""))</f>
        <v>0.24490000000000001</v>
      </c>
      <c r="N269" s="26">
        <f>IF(K269="","",K269*(1+M269))</f>
        <v>24.910449</v>
      </c>
      <c r="O269" s="62">
        <f>K269*I269</f>
        <v>3101.55</v>
      </c>
      <c r="P269" s="27">
        <f>N269*I269</f>
        <v>3861.1195950000001</v>
      </c>
    </row>
    <row r="270" spans="2:16">
      <c r="B270" s="488" t="s">
        <v>412</v>
      </c>
      <c r="C270" s="489"/>
      <c r="D270" s="489"/>
      <c r="E270" s="490" t="s">
        <v>413</v>
      </c>
      <c r="F270" s="490"/>
      <c r="G270" s="42" t="s">
        <v>29</v>
      </c>
      <c r="H270" s="25" t="s">
        <v>40</v>
      </c>
      <c r="I270" s="50">
        <f>I269</f>
        <v>155</v>
      </c>
      <c r="J270" s="50" t="s">
        <v>36</v>
      </c>
      <c r="K270" s="469">
        <v>2.69</v>
      </c>
      <c r="L270" s="470"/>
      <c r="M270" s="61">
        <f>IF(G270="", "", IFERROR(IF(G270="Mat", BDI!C$31, IF(G270="MO", BDI!C$17)), ""))</f>
        <v>0.24490000000000001</v>
      </c>
      <c r="N270" s="26">
        <f>IF(K270="","",K270*(1+M270))</f>
        <v>3.3487809999999998</v>
      </c>
      <c r="O270" s="62">
        <f>K270*I270</f>
        <v>416.95</v>
      </c>
      <c r="P270" s="27">
        <f>N270*K270</f>
        <v>9.0082208899999987</v>
      </c>
    </row>
    <row r="271" spans="2:16">
      <c r="B271" s="478" t="s">
        <v>414</v>
      </c>
      <c r="C271" s="495"/>
      <c r="D271" s="495"/>
      <c r="E271" s="478" t="s">
        <v>415</v>
      </c>
      <c r="F271" s="478"/>
      <c r="G271" s="48"/>
      <c r="H271" s="21"/>
      <c r="I271" s="21"/>
      <c r="J271" s="57"/>
      <c r="K271" s="467"/>
      <c r="L271" s="467"/>
      <c r="M271" s="58" t="str">
        <f>IF(G271="", "", IFERROR(IF(G271="Mat", BDI!C$31, IF(G271="MO", BDI!C$17)), ""))</f>
        <v/>
      </c>
      <c r="N271" s="23"/>
      <c r="O271" s="59"/>
      <c r="P271" s="35">
        <f>P272+P273+P274</f>
        <v>1276.4582150000001</v>
      </c>
    </row>
    <row r="272" spans="2:16">
      <c r="B272" s="488" t="s">
        <v>416</v>
      </c>
      <c r="C272" s="489"/>
      <c r="D272" s="489"/>
      <c r="E272" s="490" t="s">
        <v>417</v>
      </c>
      <c r="F272" s="490"/>
      <c r="G272" s="42" t="s">
        <v>29</v>
      </c>
      <c r="H272" s="25" t="s">
        <v>40</v>
      </c>
      <c r="I272" s="75">
        <v>20</v>
      </c>
      <c r="J272" s="42" t="s">
        <v>36</v>
      </c>
      <c r="K272" s="469">
        <v>20.010000000000002</v>
      </c>
      <c r="L272" s="470"/>
      <c r="M272" s="61">
        <f>IF(G272="", "", IFERROR(IF(G272="Mat", BDI!C$31, IF(G272="MO", BDI!C$17)), ""))</f>
        <v>0.24490000000000001</v>
      </c>
      <c r="N272" s="26">
        <f t="shared" ref="N272:N277" si="17">IF(K272="","",K272*(1+M272))</f>
        <v>24.910449</v>
      </c>
      <c r="O272" s="62">
        <f>K272*I272</f>
        <v>400.20000000000005</v>
      </c>
      <c r="P272" s="27">
        <f>N272*I272</f>
        <v>498.20898</v>
      </c>
    </row>
    <row r="273" spans="2:16">
      <c r="B273" s="488" t="s">
        <v>418</v>
      </c>
      <c r="C273" s="489"/>
      <c r="D273" s="489"/>
      <c r="E273" s="490" t="s">
        <v>419</v>
      </c>
      <c r="F273" s="490"/>
      <c r="G273" s="42" t="s">
        <v>29</v>
      </c>
      <c r="H273" s="25" t="s">
        <v>40</v>
      </c>
      <c r="I273" s="75">
        <v>20</v>
      </c>
      <c r="J273" s="42" t="s">
        <v>36</v>
      </c>
      <c r="K273" s="469">
        <v>20.010000000000002</v>
      </c>
      <c r="L273" s="470"/>
      <c r="M273" s="61">
        <f>IF(G273="", "", IFERROR(IF(G273="Mat", BDI!C$31, IF(G273="MO", BDI!C$17)), ""))</f>
        <v>0.24490000000000001</v>
      </c>
      <c r="N273" s="26">
        <f t="shared" si="17"/>
        <v>24.910449</v>
      </c>
      <c r="O273" s="62">
        <f>K273*I273</f>
        <v>400.20000000000005</v>
      </c>
      <c r="P273" s="27">
        <f>N273*I273</f>
        <v>498.20898</v>
      </c>
    </row>
    <row r="274" spans="2:16">
      <c r="B274" s="488" t="s">
        <v>420</v>
      </c>
      <c r="C274" s="489"/>
      <c r="D274" s="489"/>
      <c r="E274" s="490" t="s">
        <v>421</v>
      </c>
      <c r="F274" s="490"/>
      <c r="G274" s="42" t="s">
        <v>29</v>
      </c>
      <c r="H274" s="25" t="s">
        <v>40</v>
      </c>
      <c r="I274" s="50">
        <v>5</v>
      </c>
      <c r="J274" s="50" t="s">
        <v>31</v>
      </c>
      <c r="K274" s="469">
        <v>44.99</v>
      </c>
      <c r="L274" s="470"/>
      <c r="M274" s="61">
        <f>IF(G274="", "", IFERROR(IF(G274="Mat", BDI!C$31, IF(G274="MO", BDI!C$17)), ""))</f>
        <v>0.24490000000000001</v>
      </c>
      <c r="N274" s="26">
        <f t="shared" si="17"/>
        <v>56.008050999999995</v>
      </c>
      <c r="O274" s="62">
        <f>K274*I274</f>
        <v>224.95000000000002</v>
      </c>
      <c r="P274" s="27">
        <f>N274*I274</f>
        <v>280.040255</v>
      </c>
    </row>
    <row r="275" spans="2:16">
      <c r="B275" s="491" t="s">
        <v>422</v>
      </c>
      <c r="C275" s="495"/>
      <c r="D275" s="495"/>
      <c r="E275" s="491" t="s">
        <v>423</v>
      </c>
      <c r="F275" s="491"/>
      <c r="G275" s="48"/>
      <c r="H275" s="21"/>
      <c r="I275" s="21"/>
      <c r="J275" s="57"/>
      <c r="K275" s="467"/>
      <c r="L275" s="467"/>
      <c r="M275" s="58" t="str">
        <f>IF(G275="", "", IFERROR(IF(G275="Mat", BDI!C$31, IF(G275="MO", BDI!C$17)), ""))</f>
        <v/>
      </c>
      <c r="N275" s="23" t="str">
        <f t="shared" si="17"/>
        <v/>
      </c>
      <c r="O275" s="59"/>
      <c r="P275" s="35">
        <f>P276+P277</f>
        <v>3314.1852289999997</v>
      </c>
    </row>
    <row r="276" spans="2:16">
      <c r="B276" s="488" t="s">
        <v>424</v>
      </c>
      <c r="C276" s="489"/>
      <c r="D276" s="489"/>
      <c r="E276" s="490" t="s">
        <v>425</v>
      </c>
      <c r="F276" s="490"/>
      <c r="G276" s="42" t="s">
        <v>29</v>
      </c>
      <c r="H276" s="25" t="s">
        <v>40</v>
      </c>
      <c r="I276" s="50">
        <v>3</v>
      </c>
      <c r="J276" s="50" t="s">
        <v>31</v>
      </c>
      <c r="K276" s="469">
        <v>587.15</v>
      </c>
      <c r="L276" s="470"/>
      <c r="M276" s="61">
        <f>IF(G276="", "", IFERROR(IF(G276="Mat", BDI!C$31, IF(G276="MO", BDI!C$17)), ""))</f>
        <v>0.24490000000000001</v>
      </c>
      <c r="N276" s="26">
        <f t="shared" si="17"/>
        <v>730.9430349999999</v>
      </c>
      <c r="O276" s="62">
        <f>K276*I276</f>
        <v>1761.4499999999998</v>
      </c>
      <c r="P276" s="27">
        <f>N276*I276</f>
        <v>2192.8291049999998</v>
      </c>
    </row>
    <row r="277" spans="2:16">
      <c r="B277" s="488" t="s">
        <v>426</v>
      </c>
      <c r="C277" s="489"/>
      <c r="D277" s="489"/>
      <c r="E277" s="490" t="s">
        <v>427</v>
      </c>
      <c r="F277" s="490"/>
      <c r="G277" s="42" t="s">
        <v>29</v>
      </c>
      <c r="H277" s="25" t="s">
        <v>40</v>
      </c>
      <c r="I277" s="75">
        <v>4</v>
      </c>
      <c r="J277" s="50" t="s">
        <v>31</v>
      </c>
      <c r="K277" s="469">
        <v>225.19</v>
      </c>
      <c r="L277" s="470"/>
      <c r="M277" s="61">
        <f>IF(G277="", "", IFERROR(IF(G277="Mat", BDI!C$31, IF(G277="MO", BDI!C$17)), ""))</f>
        <v>0.24490000000000001</v>
      </c>
      <c r="N277" s="26">
        <f t="shared" si="17"/>
        <v>280.33903099999998</v>
      </c>
      <c r="O277" s="62">
        <f>K277*I277</f>
        <v>900.76</v>
      </c>
      <c r="P277" s="27">
        <f>N277*I277</f>
        <v>1121.3561239999999</v>
      </c>
    </row>
    <row r="278" spans="2:16">
      <c r="B278" s="480" t="s">
        <v>215</v>
      </c>
      <c r="C278" s="487"/>
      <c r="D278" s="487"/>
      <c r="E278" s="480" t="s">
        <v>216</v>
      </c>
      <c r="F278" s="487"/>
      <c r="G278" s="21"/>
      <c r="H278" s="21"/>
      <c r="I278" s="21"/>
      <c r="J278" s="57" t="s">
        <v>28</v>
      </c>
      <c r="K278" s="467" t="str">
        <f>[2]REF_TAB_PREÇOS_SANEPAR!I1231</f>
        <v/>
      </c>
      <c r="L278" s="471"/>
      <c r="M278" s="58" t="str">
        <f>IF(G278="", "", IFERROR(IF(G278="Mat", BDI!C$31, IF(G278="MO", BDI!C$17)), ""))</f>
        <v/>
      </c>
      <c r="N278" s="23"/>
      <c r="O278" s="59"/>
      <c r="P278" s="24">
        <f>P279+P280+P281+P282+P283+P284+P285</f>
        <v>880.24389199999996</v>
      </c>
    </row>
    <row r="279" spans="2:16">
      <c r="B279" s="505" t="s">
        <v>217</v>
      </c>
      <c r="C279" s="506"/>
      <c r="D279" s="506"/>
      <c r="E279" s="466" t="s">
        <v>218</v>
      </c>
      <c r="F279" s="481"/>
      <c r="G279" s="25" t="s">
        <v>29</v>
      </c>
      <c r="H279" s="25" t="s">
        <v>40</v>
      </c>
      <c r="I279" s="86">
        <v>1</v>
      </c>
      <c r="J279" s="60" t="s">
        <v>36</v>
      </c>
      <c r="K279" s="465">
        <f>[2]REF_TAB_PREÇOS_SANEPAR!I1254</f>
        <v>23.36</v>
      </c>
      <c r="L279" s="468"/>
      <c r="M279" s="61">
        <f>IF(G279="", "", IFERROR(IF(G279="Mat", BDI!C$31, IF(G279="MO", BDI!C$17)), ""))</f>
        <v>0.24490000000000001</v>
      </c>
      <c r="N279" s="26">
        <f t="shared" ref="N279:N285" si="18">IF(K279="","",K279*(1+M279))</f>
        <v>29.080863999999998</v>
      </c>
      <c r="O279" s="62">
        <f t="shared" ref="O279:O285" si="19">K279*I279</f>
        <v>23.36</v>
      </c>
      <c r="P279" s="27">
        <f t="shared" ref="P279:P285" si="20">N279*I279</f>
        <v>29.080863999999998</v>
      </c>
    </row>
    <row r="280" spans="2:16">
      <c r="B280" s="505" t="s">
        <v>219</v>
      </c>
      <c r="C280" s="506"/>
      <c r="D280" s="506"/>
      <c r="E280" s="466" t="s">
        <v>220</v>
      </c>
      <c r="F280" s="481"/>
      <c r="G280" s="25" t="s">
        <v>29</v>
      </c>
      <c r="H280" s="25" t="s">
        <v>40</v>
      </c>
      <c r="I280" s="86">
        <v>1</v>
      </c>
      <c r="J280" s="60" t="s">
        <v>36</v>
      </c>
      <c r="K280" s="465">
        <f>[2]REF_TAB_PREÇOS_SANEPAR!I1261</f>
        <v>3.39</v>
      </c>
      <c r="L280" s="468"/>
      <c r="M280" s="61">
        <f>IF(G280="", "", IFERROR(IF(G280="Mat", BDI!C$31, IF(G280="MO", BDI!C$17)), ""))</f>
        <v>0.24490000000000001</v>
      </c>
      <c r="N280" s="26">
        <f t="shared" si="18"/>
        <v>4.2202109999999999</v>
      </c>
      <c r="O280" s="62">
        <f t="shared" si="19"/>
        <v>3.39</v>
      </c>
      <c r="P280" s="27">
        <f t="shared" si="20"/>
        <v>4.2202109999999999</v>
      </c>
    </row>
    <row r="281" spans="2:16">
      <c r="B281" s="505" t="s">
        <v>221</v>
      </c>
      <c r="C281" s="506"/>
      <c r="D281" s="506"/>
      <c r="E281" s="466" t="s">
        <v>222</v>
      </c>
      <c r="F281" s="481"/>
      <c r="G281" s="25" t="s">
        <v>29</v>
      </c>
      <c r="H281" s="25" t="s">
        <v>40</v>
      </c>
      <c r="I281" s="86">
        <v>1</v>
      </c>
      <c r="J281" s="60" t="s">
        <v>36</v>
      </c>
      <c r="K281" s="465">
        <f>[2]REF_TAB_PREÇOS_SANEPAR!I1265</f>
        <v>20.84</v>
      </c>
      <c r="L281" s="468"/>
      <c r="M281" s="61">
        <f>IF(G281="", "", IFERROR(IF(G281="Mat", BDI!C$31, IF(G281="MO", BDI!C$17)), ""))</f>
        <v>0.24490000000000001</v>
      </c>
      <c r="N281" s="26">
        <f t="shared" si="18"/>
        <v>25.943715999999998</v>
      </c>
      <c r="O281" s="62">
        <f t="shared" si="19"/>
        <v>20.84</v>
      </c>
      <c r="P281" s="27">
        <f t="shared" si="20"/>
        <v>25.943715999999998</v>
      </c>
    </row>
    <row r="282" spans="2:16">
      <c r="B282" s="505" t="s">
        <v>223</v>
      </c>
      <c r="C282" s="506"/>
      <c r="D282" s="506"/>
      <c r="E282" s="466" t="s">
        <v>224</v>
      </c>
      <c r="F282" s="481"/>
      <c r="G282" s="25" t="s">
        <v>29</v>
      </c>
      <c r="H282" s="25" t="s">
        <v>40</v>
      </c>
      <c r="I282" s="86">
        <v>1</v>
      </c>
      <c r="J282" s="60" t="s">
        <v>36</v>
      </c>
      <c r="K282" s="465">
        <f>[2]REF_TAB_PREÇOS_SANEPAR!I1266</f>
        <v>31.23</v>
      </c>
      <c r="L282" s="468"/>
      <c r="M282" s="61">
        <f>IF(G282="", "", IFERROR(IF(G282="Mat", BDI!C$31, IF(G282="MO", BDI!C$17)), ""))</f>
        <v>0.24490000000000001</v>
      </c>
      <c r="N282" s="26">
        <f t="shared" si="18"/>
        <v>38.878226999999995</v>
      </c>
      <c r="O282" s="62">
        <f t="shared" si="19"/>
        <v>31.23</v>
      </c>
      <c r="P282" s="27">
        <f t="shared" si="20"/>
        <v>38.878226999999995</v>
      </c>
    </row>
    <row r="283" spans="2:16">
      <c r="B283" s="505" t="s">
        <v>225</v>
      </c>
      <c r="C283" s="506"/>
      <c r="D283" s="506"/>
      <c r="E283" s="466" t="s">
        <v>226</v>
      </c>
      <c r="F283" s="481"/>
      <c r="G283" s="25" t="s">
        <v>29</v>
      </c>
      <c r="H283" s="25" t="s">
        <v>40</v>
      </c>
      <c r="I283" s="25">
        <v>3</v>
      </c>
      <c r="J283" s="60" t="s">
        <v>31</v>
      </c>
      <c r="K283" s="465">
        <f>[2]REF_TAB_PREÇOS_SANEPAR!I1285</f>
        <v>44.61</v>
      </c>
      <c r="L283" s="468"/>
      <c r="M283" s="61">
        <f>IF(G283="", "", IFERROR(IF(G283="Mat", BDI!C$31, IF(G283="MO", BDI!C$17)), ""))</f>
        <v>0.24490000000000001</v>
      </c>
      <c r="N283" s="26">
        <f t="shared" si="18"/>
        <v>55.534988999999996</v>
      </c>
      <c r="O283" s="62">
        <f t="shared" si="19"/>
        <v>133.82999999999998</v>
      </c>
      <c r="P283" s="27">
        <f t="shared" si="20"/>
        <v>166.60496699999999</v>
      </c>
    </row>
    <row r="284" spans="2:16">
      <c r="B284" s="505" t="s">
        <v>227</v>
      </c>
      <c r="C284" s="506"/>
      <c r="D284" s="506"/>
      <c r="E284" s="466" t="s">
        <v>228</v>
      </c>
      <c r="F284" s="481"/>
      <c r="G284" s="25" t="s">
        <v>29</v>
      </c>
      <c r="H284" s="25" t="s">
        <v>40</v>
      </c>
      <c r="I284" s="25">
        <v>3</v>
      </c>
      <c r="J284" s="60" t="s">
        <v>31</v>
      </c>
      <c r="K284" s="465">
        <f>[2]REF_TAB_PREÇOS_SANEPAR!I1291</f>
        <v>44.61</v>
      </c>
      <c r="L284" s="468"/>
      <c r="M284" s="61">
        <f>IF(G284="", "", IFERROR(IF(G284="Mat", BDI!C$31, IF(G284="MO", BDI!C$17)), ""))</f>
        <v>0.24490000000000001</v>
      </c>
      <c r="N284" s="26">
        <f t="shared" si="18"/>
        <v>55.534988999999996</v>
      </c>
      <c r="O284" s="62">
        <f t="shared" si="19"/>
        <v>133.82999999999998</v>
      </c>
      <c r="P284" s="27">
        <f t="shared" si="20"/>
        <v>166.60496699999999</v>
      </c>
    </row>
    <row r="285" spans="2:16">
      <c r="B285" s="505" t="s">
        <v>229</v>
      </c>
      <c r="C285" s="506"/>
      <c r="D285" s="506"/>
      <c r="E285" s="466" t="s">
        <v>230</v>
      </c>
      <c r="F285" s="481"/>
      <c r="G285" s="25" t="s">
        <v>29</v>
      </c>
      <c r="H285" s="25" t="s">
        <v>40</v>
      </c>
      <c r="I285" s="25">
        <v>5</v>
      </c>
      <c r="J285" s="60" t="s">
        <v>31</v>
      </c>
      <c r="K285" s="465">
        <f>[2]REF_TAB_PREÇOS_SANEPAR!I1295</f>
        <v>72.12</v>
      </c>
      <c r="L285" s="468"/>
      <c r="M285" s="61">
        <f>IF(G285="", "", IFERROR(IF(G285="Mat", BDI!C$31, IF(G285="MO", BDI!C$17)), ""))</f>
        <v>0.24490000000000001</v>
      </c>
      <c r="N285" s="26">
        <f t="shared" si="18"/>
        <v>89.782188000000005</v>
      </c>
      <c r="O285" s="62">
        <f t="shared" si="19"/>
        <v>360.6</v>
      </c>
      <c r="P285" s="27">
        <f t="shared" si="20"/>
        <v>448.91094000000004</v>
      </c>
    </row>
    <row r="286" spans="2:16">
      <c r="B286" s="509" t="s">
        <v>203</v>
      </c>
      <c r="C286" s="522"/>
      <c r="D286" s="522"/>
      <c r="E286" s="509" t="s">
        <v>204</v>
      </c>
      <c r="F286" s="522"/>
      <c r="G286" s="28"/>
      <c r="H286" s="28"/>
      <c r="I286" s="28"/>
      <c r="J286" s="64" t="s">
        <v>28</v>
      </c>
      <c r="K286" s="472" t="str">
        <f>[2]REF_TAB_PREÇOS_SANEPAR!I1181</f>
        <v/>
      </c>
      <c r="L286" s="473"/>
      <c r="M286" s="65" t="str">
        <f>IF(G286="", "", IFERROR(IF(G286="Mat", BDI!C$31, IF(G286="MO", BDI!C$17)), ""))</f>
        <v/>
      </c>
      <c r="N286" s="29"/>
      <c r="O286" s="66"/>
      <c r="P286" s="30">
        <f>P287+P290</f>
        <v>674.46314799999993</v>
      </c>
    </row>
    <row r="287" spans="2:16">
      <c r="B287" s="480" t="s">
        <v>205</v>
      </c>
      <c r="C287" s="487"/>
      <c r="D287" s="487"/>
      <c r="E287" s="480" t="s">
        <v>206</v>
      </c>
      <c r="F287" s="487"/>
      <c r="G287" s="21"/>
      <c r="H287" s="21"/>
      <c r="I287" s="21"/>
      <c r="J287" s="57" t="s">
        <v>28</v>
      </c>
      <c r="K287" s="467" t="str">
        <f>[2]REF_TAB_PREÇOS_SANEPAR!I1182</f>
        <v/>
      </c>
      <c r="L287" s="471"/>
      <c r="M287" s="58" t="str">
        <f>IF(G287="", "", IFERROR(IF(G287="Mat", BDI!C$31, IF(G287="MO", BDI!C$17)), ""))</f>
        <v/>
      </c>
      <c r="N287" s="23"/>
      <c r="O287" s="59"/>
      <c r="P287" s="24">
        <f>P288+P289</f>
        <v>588.19035199999996</v>
      </c>
    </row>
    <row r="288" spans="2:16">
      <c r="B288" s="505" t="s">
        <v>207</v>
      </c>
      <c r="C288" s="506"/>
      <c r="D288" s="506"/>
      <c r="E288" s="466" t="s">
        <v>208</v>
      </c>
      <c r="F288" s="481"/>
      <c r="G288" s="25" t="s">
        <v>29</v>
      </c>
      <c r="H288" s="25" t="s">
        <v>40</v>
      </c>
      <c r="I288" s="25">
        <v>1</v>
      </c>
      <c r="J288" s="60" t="s">
        <v>31</v>
      </c>
      <c r="K288" s="465">
        <f>[2]REF_TAB_PREÇOS_SANEPAR!I1187</f>
        <v>371.42</v>
      </c>
      <c r="L288" s="468"/>
      <c r="M288" s="61">
        <f>IF(G288="", "", IFERROR(IF(G288="Mat", BDI!C$31, IF(G288="MO", BDI!C$17)), ""))</f>
        <v>0.24490000000000001</v>
      </c>
      <c r="N288" s="26">
        <f>IF(K288="","",K288*(1+M288))</f>
        <v>462.38075799999996</v>
      </c>
      <c r="O288" s="62">
        <f>K288*I288</f>
        <v>371.42</v>
      </c>
      <c r="P288" s="27">
        <f>N288*I288</f>
        <v>462.38075799999996</v>
      </c>
    </row>
    <row r="289" spans="2:16">
      <c r="B289" s="505" t="s">
        <v>209</v>
      </c>
      <c r="C289" s="506"/>
      <c r="D289" s="506"/>
      <c r="E289" s="466" t="s">
        <v>210</v>
      </c>
      <c r="F289" s="481"/>
      <c r="G289" s="25" t="s">
        <v>29</v>
      </c>
      <c r="H289" s="25" t="s">
        <v>40</v>
      </c>
      <c r="I289" s="25">
        <v>1</v>
      </c>
      <c r="J289" s="60" t="s">
        <v>36</v>
      </c>
      <c r="K289" s="465">
        <f>[2]REF_TAB_PREÇOS_SANEPAR!I1188</f>
        <v>101.06</v>
      </c>
      <c r="L289" s="468"/>
      <c r="M289" s="61">
        <f>IF(G289="", "", IFERROR(IF(G289="Mat", BDI!C$31, IF(G289="MO", BDI!C$17)), ""))</f>
        <v>0.24490000000000001</v>
      </c>
      <c r="N289" s="26">
        <f>IF(K289="","",K289*(1+M289))</f>
        <v>125.80959399999999</v>
      </c>
      <c r="O289" s="62">
        <f>K289*I289</f>
        <v>101.06</v>
      </c>
      <c r="P289" s="27">
        <f>N289*I289</f>
        <v>125.80959399999999</v>
      </c>
    </row>
    <row r="290" spans="2:16">
      <c r="B290" s="480" t="s">
        <v>211</v>
      </c>
      <c r="C290" s="487"/>
      <c r="D290" s="487"/>
      <c r="E290" s="480" t="s">
        <v>212</v>
      </c>
      <c r="F290" s="487"/>
      <c r="G290" s="21"/>
      <c r="H290" s="21"/>
      <c r="I290" s="21"/>
      <c r="J290" s="57" t="s">
        <v>28</v>
      </c>
      <c r="K290" s="467" t="str">
        <f>[2]REF_TAB_PREÇOS_SANEPAR!I1202</f>
        <v/>
      </c>
      <c r="L290" s="471"/>
      <c r="M290" s="58" t="str">
        <f>IF(G290="", "", IFERROR(IF(G290="Mat", BDI!C$31, IF(G290="MO", BDI!C$17)), ""))</f>
        <v/>
      </c>
      <c r="N290" s="23"/>
      <c r="O290" s="59"/>
      <c r="P290" s="24">
        <f>P291+P292+P293+P294+P295+P296</f>
        <v>86.272796000000014</v>
      </c>
    </row>
    <row r="291" spans="2:16">
      <c r="B291" s="505" t="s">
        <v>213</v>
      </c>
      <c r="C291" s="506"/>
      <c r="D291" s="506"/>
      <c r="E291" s="466" t="s">
        <v>214</v>
      </c>
      <c r="F291" s="481"/>
      <c r="G291" s="25" t="s">
        <v>29</v>
      </c>
      <c r="H291" s="25" t="s">
        <v>40</v>
      </c>
      <c r="I291" s="25">
        <v>1</v>
      </c>
      <c r="J291" s="60" t="s">
        <v>31</v>
      </c>
      <c r="K291" s="465">
        <f>[2]REF_TAB_PREÇOS_SANEPAR!I1218</f>
        <v>62.04</v>
      </c>
      <c r="L291" s="468"/>
      <c r="M291" s="61">
        <f>IF(G291="", "", IFERROR(IF(G291="Mat", BDI!C$31, IF(G291="MO", BDI!C$17)), ""))</f>
        <v>0.24490000000000001</v>
      </c>
      <c r="N291" s="26">
        <f t="shared" ref="N291:N296" si="21">IF(K291="","",K291*(1+M291))</f>
        <v>77.233595999999991</v>
      </c>
      <c r="O291" s="62">
        <f t="shared" ref="O291:O296" si="22">K291*I291</f>
        <v>62.04</v>
      </c>
      <c r="P291" s="27">
        <f t="shared" ref="P291:P296" si="23">N291*I291</f>
        <v>77.233595999999991</v>
      </c>
    </row>
    <row r="292" spans="2:16">
      <c r="B292" s="476" t="s">
        <v>512</v>
      </c>
      <c r="C292" s="476"/>
      <c r="D292" s="476"/>
      <c r="E292" s="466" t="s">
        <v>508</v>
      </c>
      <c r="F292" s="466"/>
      <c r="G292" s="25" t="s">
        <v>39</v>
      </c>
      <c r="H292" s="25" t="s">
        <v>308</v>
      </c>
      <c r="I292" s="25">
        <v>1</v>
      </c>
      <c r="J292" s="60" t="s">
        <v>31</v>
      </c>
      <c r="K292" s="465">
        <v>1</v>
      </c>
      <c r="L292" s="465"/>
      <c r="M292" s="61">
        <f>IF(G292="", "", IFERROR(IF(G292="Mat", BDI!C$31, IF(G292="MO", BDI!C$17)), ""))</f>
        <v>0.12989999999999999</v>
      </c>
      <c r="N292" s="26">
        <f t="shared" si="21"/>
        <v>1.1298999999999999</v>
      </c>
      <c r="O292" s="62">
        <f t="shared" si="22"/>
        <v>1</v>
      </c>
      <c r="P292" s="27">
        <f t="shared" si="23"/>
        <v>1.1298999999999999</v>
      </c>
    </row>
    <row r="293" spans="2:16">
      <c r="B293" s="476" t="s">
        <v>513</v>
      </c>
      <c r="C293" s="476"/>
      <c r="D293" s="476"/>
      <c r="E293" s="466" t="s">
        <v>509</v>
      </c>
      <c r="F293" s="466"/>
      <c r="G293" s="25" t="s">
        <v>39</v>
      </c>
      <c r="H293" s="25" t="s">
        <v>308</v>
      </c>
      <c r="I293" s="25">
        <v>1</v>
      </c>
      <c r="J293" s="60" t="s">
        <v>31</v>
      </c>
      <c r="K293" s="465">
        <v>1</v>
      </c>
      <c r="L293" s="465"/>
      <c r="M293" s="61">
        <f>IF(G293="", "", IFERROR(IF(G293="Mat", BDI!C$31, IF(G293="MO", BDI!C$17)), ""))</f>
        <v>0.12989999999999999</v>
      </c>
      <c r="N293" s="26">
        <f t="shared" si="21"/>
        <v>1.1298999999999999</v>
      </c>
      <c r="O293" s="62">
        <f t="shared" si="22"/>
        <v>1</v>
      </c>
      <c r="P293" s="27">
        <f t="shared" si="23"/>
        <v>1.1298999999999999</v>
      </c>
    </row>
    <row r="294" spans="2:16">
      <c r="B294" s="476" t="s">
        <v>514</v>
      </c>
      <c r="C294" s="476"/>
      <c r="D294" s="476"/>
      <c r="E294" s="466" t="s">
        <v>510</v>
      </c>
      <c r="F294" s="466"/>
      <c r="G294" s="25" t="s">
        <v>39</v>
      </c>
      <c r="H294" s="25" t="s">
        <v>308</v>
      </c>
      <c r="I294" s="25">
        <v>1</v>
      </c>
      <c r="J294" s="60" t="s">
        <v>31</v>
      </c>
      <c r="K294" s="465">
        <v>1</v>
      </c>
      <c r="L294" s="465"/>
      <c r="M294" s="61">
        <f>IF(G294="", "", IFERROR(IF(G294="Mat", BDI!C$31, IF(G294="MO", BDI!C$17)), ""))</f>
        <v>0.12989999999999999</v>
      </c>
      <c r="N294" s="26">
        <f t="shared" si="21"/>
        <v>1.1298999999999999</v>
      </c>
      <c r="O294" s="62">
        <f t="shared" si="22"/>
        <v>1</v>
      </c>
      <c r="P294" s="27">
        <f t="shared" si="23"/>
        <v>1.1298999999999999</v>
      </c>
    </row>
    <row r="295" spans="2:16">
      <c r="B295" s="476" t="s">
        <v>515</v>
      </c>
      <c r="C295" s="476"/>
      <c r="D295" s="476"/>
      <c r="E295" s="466" t="s">
        <v>507</v>
      </c>
      <c r="F295" s="466"/>
      <c r="G295" s="25" t="s">
        <v>39</v>
      </c>
      <c r="H295" s="25" t="s">
        <v>308</v>
      </c>
      <c r="I295" s="25">
        <v>1</v>
      </c>
      <c r="J295" s="60" t="s">
        <v>31</v>
      </c>
      <c r="K295" s="465">
        <v>1</v>
      </c>
      <c r="L295" s="465"/>
      <c r="M295" s="61">
        <f>IF(G295="", "", IFERROR(IF(G295="Mat", BDI!C$31, IF(G295="MO", BDI!C$17)), ""))</f>
        <v>0.12989999999999999</v>
      </c>
      <c r="N295" s="26">
        <f t="shared" si="21"/>
        <v>1.1298999999999999</v>
      </c>
      <c r="O295" s="62">
        <f t="shared" si="22"/>
        <v>1</v>
      </c>
      <c r="P295" s="27">
        <f t="shared" si="23"/>
        <v>1.1298999999999999</v>
      </c>
    </row>
    <row r="296" spans="2:16">
      <c r="B296" s="476" t="s">
        <v>516</v>
      </c>
      <c r="C296" s="476"/>
      <c r="D296" s="476"/>
      <c r="E296" s="466" t="s">
        <v>511</v>
      </c>
      <c r="F296" s="466"/>
      <c r="G296" s="25" t="s">
        <v>39</v>
      </c>
      <c r="H296" s="25" t="s">
        <v>308</v>
      </c>
      <c r="I296" s="25">
        <v>4</v>
      </c>
      <c r="J296" s="60" t="s">
        <v>31</v>
      </c>
      <c r="K296" s="465">
        <v>1</v>
      </c>
      <c r="L296" s="465"/>
      <c r="M296" s="61">
        <f>IF(G296="", "", IFERROR(IF(G296="Mat", BDI!C$31, IF(G296="MO", BDI!C$17)), ""))</f>
        <v>0.12989999999999999</v>
      </c>
      <c r="N296" s="26">
        <f t="shared" si="21"/>
        <v>1.1298999999999999</v>
      </c>
      <c r="O296" s="62">
        <f t="shared" si="22"/>
        <v>4</v>
      </c>
      <c r="P296" s="27">
        <f t="shared" si="23"/>
        <v>4.5195999999999996</v>
      </c>
    </row>
    <row r="297" spans="2:16">
      <c r="B297" s="509" t="s">
        <v>298</v>
      </c>
      <c r="C297" s="522"/>
      <c r="D297" s="522"/>
      <c r="E297" s="509" t="s">
        <v>299</v>
      </c>
      <c r="F297" s="522"/>
      <c r="G297" s="28"/>
      <c r="H297" s="28"/>
      <c r="I297" s="28"/>
      <c r="J297" s="64" t="s">
        <v>28</v>
      </c>
      <c r="K297" s="472" t="str">
        <f>[2]REF_TAB_PREÇOS_SANEPAR!I2357</f>
        <v/>
      </c>
      <c r="L297" s="473"/>
      <c r="M297" s="65" t="str">
        <f>IF(G297="", "", IFERROR(IF(G297="Mat", BDI!C$31, IF(G297="MO", BDI!C$17)), ""))</f>
        <v/>
      </c>
      <c r="N297" s="29"/>
      <c r="O297" s="66"/>
      <c r="P297" s="30">
        <f>P298+P300</f>
        <v>352.05595399999993</v>
      </c>
    </row>
    <row r="298" spans="2:16">
      <c r="B298" s="480" t="s">
        <v>300</v>
      </c>
      <c r="C298" s="487"/>
      <c r="D298" s="487"/>
      <c r="E298" s="480" t="s">
        <v>301</v>
      </c>
      <c r="F298" s="487"/>
      <c r="G298" s="21"/>
      <c r="H298" s="21"/>
      <c r="I298" s="21"/>
      <c r="J298" s="57" t="s">
        <v>28</v>
      </c>
      <c r="K298" s="467" t="str">
        <f>[2]REF_TAB_PREÇOS_SANEPAR!I2380</f>
        <v/>
      </c>
      <c r="L298" s="471"/>
      <c r="M298" s="58" t="str">
        <f>IF(G298="", "", IFERROR(IF(G298="Mat", BDI!C$31, IF(G298="MO", BDI!C$17)), ""))</f>
        <v/>
      </c>
      <c r="N298" s="23"/>
      <c r="O298" s="59"/>
      <c r="P298" s="24">
        <f>P299</f>
        <v>203.30461899999997</v>
      </c>
    </row>
    <row r="299" spans="2:16">
      <c r="B299" s="505" t="s">
        <v>302</v>
      </c>
      <c r="C299" s="506"/>
      <c r="D299" s="506"/>
      <c r="E299" s="466" t="s">
        <v>303</v>
      </c>
      <c r="F299" s="481"/>
      <c r="G299" s="25" t="s">
        <v>29</v>
      </c>
      <c r="H299" s="25" t="s">
        <v>40</v>
      </c>
      <c r="I299" s="25">
        <v>1</v>
      </c>
      <c r="J299" s="60" t="s">
        <v>31</v>
      </c>
      <c r="K299" s="465">
        <f>[2]REF_TAB_PREÇOS_SANEPAR!I2381</f>
        <v>163.31</v>
      </c>
      <c r="L299" s="468"/>
      <c r="M299" s="61">
        <f>IF(G299="", "", IFERROR(IF(G299="Mat", BDI!C$31, IF(G299="MO", BDI!C$17)), ""))</f>
        <v>0.24490000000000001</v>
      </c>
      <c r="N299" s="26">
        <f>IF(K299="","",K299*(1+M299))</f>
        <v>203.30461899999997</v>
      </c>
      <c r="O299" s="62">
        <f>K299*I299</f>
        <v>163.31</v>
      </c>
      <c r="P299" s="27">
        <f>N299*I299</f>
        <v>203.30461899999997</v>
      </c>
    </row>
    <row r="300" spans="2:16">
      <c r="B300" s="480" t="s">
        <v>304</v>
      </c>
      <c r="C300" s="487"/>
      <c r="D300" s="487"/>
      <c r="E300" s="480" t="s">
        <v>305</v>
      </c>
      <c r="F300" s="487"/>
      <c r="G300" s="21"/>
      <c r="H300" s="21"/>
      <c r="I300" s="21"/>
      <c r="J300" s="57" t="s">
        <v>28</v>
      </c>
      <c r="K300" s="467" t="str">
        <f>[2]REF_TAB_PREÇOS_SANEPAR!I2382</f>
        <v/>
      </c>
      <c r="L300" s="471"/>
      <c r="M300" s="58" t="str">
        <f>IF(G300="", "", IFERROR(IF(G300="Mat", BDI!C$31, IF(G300="MO", BDI!C$17)), ""))</f>
        <v/>
      </c>
      <c r="N300" s="23"/>
      <c r="O300" s="59"/>
      <c r="P300" s="24">
        <f>P301</f>
        <v>148.75133499999998</v>
      </c>
    </row>
    <row r="301" spans="2:16">
      <c r="B301" s="505" t="s">
        <v>306</v>
      </c>
      <c r="C301" s="506"/>
      <c r="D301" s="506"/>
      <c r="E301" s="466" t="s">
        <v>307</v>
      </c>
      <c r="F301" s="481"/>
      <c r="G301" s="25" t="s">
        <v>39</v>
      </c>
      <c r="H301" s="25" t="s">
        <v>40</v>
      </c>
      <c r="I301" s="25">
        <v>1</v>
      </c>
      <c r="J301" s="60" t="s">
        <v>31</v>
      </c>
      <c r="K301" s="465">
        <f>[2]REF_TAB_PREÇOS_SANEPAR!I2383</f>
        <v>131.65</v>
      </c>
      <c r="L301" s="468"/>
      <c r="M301" s="61">
        <f>IF(G301="", "", IFERROR(IF(G301="Mat", BDI!C$31, IF(G301="MO", BDI!C$17)), ""))</f>
        <v>0.12989999999999999</v>
      </c>
      <c r="N301" s="26">
        <f>IF(K301="","",K301*(1+M301))</f>
        <v>148.75133499999998</v>
      </c>
      <c r="O301" s="62">
        <f>K301*I301</f>
        <v>131.65</v>
      </c>
      <c r="P301" s="27">
        <f>N301*I301</f>
        <v>148.75133499999998</v>
      </c>
    </row>
    <row r="302" spans="2:16">
      <c r="B302" s="482" t="s">
        <v>283</v>
      </c>
      <c r="C302" s="544"/>
      <c r="D302" s="544"/>
      <c r="E302" s="482" t="s">
        <v>284</v>
      </c>
      <c r="F302" s="544"/>
      <c r="G302" s="32"/>
      <c r="H302" s="32"/>
      <c r="I302" s="32"/>
      <c r="J302" s="52" t="s">
        <v>28</v>
      </c>
      <c r="K302" s="475" t="str">
        <f>[2]REF_TAB_PREÇOS_SANEPAR!I2229</f>
        <v/>
      </c>
      <c r="L302" s="545"/>
      <c r="M302" s="108" t="str">
        <f>IF(G302="", "", IFERROR(IF(G302="Mat", BDI!C$31, IF(G302="MO", BDI!C$17)), ""))</f>
        <v/>
      </c>
      <c r="N302" s="33"/>
      <c r="O302" s="68"/>
      <c r="P302" s="80">
        <f>P303</f>
        <v>13.843287999999998</v>
      </c>
    </row>
    <row r="303" spans="2:16">
      <c r="B303" s="480" t="s">
        <v>289</v>
      </c>
      <c r="C303" s="487"/>
      <c r="D303" s="487"/>
      <c r="E303" s="480" t="s">
        <v>290</v>
      </c>
      <c r="F303" s="487"/>
      <c r="G303" s="21"/>
      <c r="H303" s="21"/>
      <c r="I303" s="21"/>
      <c r="J303" s="57" t="s">
        <v>28</v>
      </c>
      <c r="K303" s="467" t="str">
        <f>[2]REF_TAB_PREÇOS_SANEPAR!I2332</f>
        <v/>
      </c>
      <c r="L303" s="471"/>
      <c r="M303" s="58" t="str">
        <f>IF(G303="", "", IFERROR(IF(G303="Mat", BDI!C$31, IF(G303="MO", BDI!C$17)), ""))</f>
        <v/>
      </c>
      <c r="N303" s="23"/>
      <c r="O303" s="59"/>
      <c r="P303" s="24">
        <f>P304</f>
        <v>13.843287999999998</v>
      </c>
    </row>
    <row r="304" spans="2:16">
      <c r="B304" s="505" t="s">
        <v>291</v>
      </c>
      <c r="C304" s="506"/>
      <c r="D304" s="506"/>
      <c r="E304" s="466" t="s">
        <v>292</v>
      </c>
      <c r="F304" s="481"/>
      <c r="G304" s="25" t="s">
        <v>29</v>
      </c>
      <c r="H304" s="25" t="s">
        <v>40</v>
      </c>
      <c r="I304" s="25">
        <v>1</v>
      </c>
      <c r="J304" s="60" t="s">
        <v>30</v>
      </c>
      <c r="K304" s="465">
        <f>[2]REF_TAB_PREÇOS_SANEPAR!I2335</f>
        <v>11.12</v>
      </c>
      <c r="L304" s="468"/>
      <c r="M304" s="61">
        <f>IF(G304="", "", IFERROR(IF(G304="Mat", BDI!C$31, IF(G304="MO", BDI!C$17)), ""))</f>
        <v>0.24490000000000001</v>
      </c>
      <c r="N304" s="26">
        <f>IF(K304="","",K304*(1+M304))</f>
        <v>13.843287999999998</v>
      </c>
      <c r="O304" s="62">
        <f>K304*I304</f>
        <v>11.12</v>
      </c>
      <c r="P304" s="27">
        <f>N304*I304</f>
        <v>13.843287999999998</v>
      </c>
    </row>
    <row r="305" spans="2:17" ht="17.45" customHeight="1">
      <c r="B305" s="548" t="s">
        <v>552</v>
      </c>
      <c r="C305" s="548"/>
      <c r="D305" s="548"/>
      <c r="E305" s="548"/>
      <c r="F305" s="548"/>
      <c r="G305" s="549"/>
      <c r="H305" s="548"/>
      <c r="I305" s="548"/>
      <c r="J305" s="548"/>
      <c r="K305" s="548"/>
      <c r="L305" s="548"/>
      <c r="M305" s="548"/>
      <c r="N305" s="548"/>
      <c r="O305" s="51">
        <f>SUM(O13:O304)</f>
        <v>344407.40713333344</v>
      </c>
      <c r="P305" s="51">
        <f>P13+P39+P134+P153+P164+P302</f>
        <v>406165.85063284333</v>
      </c>
      <c r="Q305" s="16"/>
    </row>
  </sheetData>
  <autoFilter ref="B12:P305" xr:uid="{201FF0C9-671C-4D47-A7CE-8133A1243FF7}">
    <filterColumn colId="0" showButton="0"/>
    <filterColumn colId="1" showButton="0"/>
    <filterColumn colId="3" showButton="0"/>
    <filterColumn colId="9" showButton="0"/>
  </autoFilter>
  <mergeCells count="902">
    <mergeCell ref="E50:F50"/>
    <mergeCell ref="K50:L50"/>
    <mergeCell ref="B57:D57"/>
    <mergeCell ref="E57:F57"/>
    <mergeCell ref="K57:L57"/>
    <mergeCell ref="B58:D58"/>
    <mergeCell ref="E58:F58"/>
    <mergeCell ref="K58:L58"/>
    <mergeCell ref="B54:D54"/>
    <mergeCell ref="E54:F54"/>
    <mergeCell ref="K54:L54"/>
    <mergeCell ref="B55:D55"/>
    <mergeCell ref="E55:F55"/>
    <mergeCell ref="K55:L55"/>
    <mergeCell ref="B56:D56"/>
    <mergeCell ref="E56:F56"/>
    <mergeCell ref="K56:L56"/>
    <mergeCell ref="B75:D75"/>
    <mergeCell ref="E75:F75"/>
    <mergeCell ref="K75:L75"/>
    <mergeCell ref="B76:D76"/>
    <mergeCell ref="E76:F76"/>
    <mergeCell ref="K76:L76"/>
    <mergeCell ref="K67:L67"/>
    <mergeCell ref="K73:L73"/>
    <mergeCell ref="B65:D65"/>
    <mergeCell ref="E65:F65"/>
    <mergeCell ref="K65:L65"/>
    <mergeCell ref="B68:D68"/>
    <mergeCell ref="E68:F68"/>
    <mergeCell ref="K68:L68"/>
    <mergeCell ref="B69:D69"/>
    <mergeCell ref="E69:F69"/>
    <mergeCell ref="K69:L69"/>
    <mergeCell ref="B66:D66"/>
    <mergeCell ref="E66:F66"/>
    <mergeCell ref="K66:L66"/>
    <mergeCell ref="B67:D67"/>
    <mergeCell ref="E67:F67"/>
    <mergeCell ref="E63:F63"/>
    <mergeCell ref="K63:L63"/>
    <mergeCell ref="B64:D64"/>
    <mergeCell ref="B45:D45"/>
    <mergeCell ref="E45:F45"/>
    <mergeCell ref="K45:L45"/>
    <mergeCell ref="B46:D46"/>
    <mergeCell ref="E46:F46"/>
    <mergeCell ref="K46:L46"/>
    <mergeCell ref="B47:D47"/>
    <mergeCell ref="E47:F47"/>
    <mergeCell ref="K47:L47"/>
    <mergeCell ref="E64:F64"/>
    <mergeCell ref="K51:L51"/>
    <mergeCell ref="E51:F51"/>
    <mergeCell ref="B51:D51"/>
    <mergeCell ref="B52:D52"/>
    <mergeCell ref="E52:F52"/>
    <mergeCell ref="K52:L52"/>
    <mergeCell ref="B53:D53"/>
    <mergeCell ref="E53:F53"/>
    <mergeCell ref="K53:L53"/>
    <mergeCell ref="K64:L64"/>
    <mergeCell ref="B50:D50"/>
    <mergeCell ref="E217:F217"/>
    <mergeCell ref="K217:L217"/>
    <mergeCell ref="B245:D245"/>
    <mergeCell ref="B48:D48"/>
    <mergeCell ref="E48:F48"/>
    <mergeCell ref="K48:L48"/>
    <mergeCell ref="B49:D49"/>
    <mergeCell ref="E49:F49"/>
    <mergeCell ref="K49:L49"/>
    <mergeCell ref="B74:D74"/>
    <mergeCell ref="E74:F74"/>
    <mergeCell ref="K74:L74"/>
    <mergeCell ref="B70:D70"/>
    <mergeCell ref="E70:F70"/>
    <mergeCell ref="K70:L70"/>
    <mergeCell ref="B71:D71"/>
    <mergeCell ref="E71:F71"/>
    <mergeCell ref="K71:L71"/>
    <mergeCell ref="B72:D72"/>
    <mergeCell ref="E72:F72"/>
    <mergeCell ref="K72:L72"/>
    <mergeCell ref="B73:D73"/>
    <mergeCell ref="E73:F73"/>
    <mergeCell ref="B63:D63"/>
    <mergeCell ref="B211:D211"/>
    <mergeCell ref="E211:F211"/>
    <mergeCell ref="K211:L211"/>
    <mergeCell ref="B305:N305"/>
    <mergeCell ref="K147:L147"/>
    <mergeCell ref="E147:F147"/>
    <mergeCell ref="B147:D147"/>
    <mergeCell ref="K148:L148"/>
    <mergeCell ref="E148:F148"/>
    <mergeCell ref="B148:D148"/>
    <mergeCell ref="K150:L150"/>
    <mergeCell ref="K149:L149"/>
    <mergeCell ref="K260:L260"/>
    <mergeCell ref="E271:F271"/>
    <mergeCell ref="B272:D272"/>
    <mergeCell ref="B273:D273"/>
    <mergeCell ref="B274:D274"/>
    <mergeCell ref="K274:L274"/>
    <mergeCell ref="E274:F274"/>
    <mergeCell ref="E273:F273"/>
    <mergeCell ref="E272:F272"/>
    <mergeCell ref="B300:D300"/>
    <mergeCell ref="E300:F300"/>
    <mergeCell ref="K300:L300"/>
    <mergeCell ref="B125:D125"/>
    <mergeCell ref="E125:F125"/>
    <mergeCell ref="K125:L125"/>
    <mergeCell ref="E140:F140"/>
    <mergeCell ref="B304:D304"/>
    <mergeCell ref="E304:F304"/>
    <mergeCell ref="K304:L304"/>
    <mergeCell ref="B303:D303"/>
    <mergeCell ref="E303:F303"/>
    <mergeCell ref="K303:L303"/>
    <mergeCell ref="B161:D161"/>
    <mergeCell ref="E161:F161"/>
    <mergeCell ref="K161:L161"/>
    <mergeCell ref="K264:L264"/>
    <mergeCell ref="B246:D246"/>
    <mergeCell ref="E246:F246"/>
    <mergeCell ref="K246:L246"/>
    <mergeCell ref="B252:D252"/>
    <mergeCell ref="E252:F252"/>
    <mergeCell ref="K252:L252"/>
    <mergeCell ref="B206:D206"/>
    <mergeCell ref="E206:F206"/>
    <mergeCell ref="B210:D210"/>
    <mergeCell ref="E210:F210"/>
    <mergeCell ref="B127:D127"/>
    <mergeCell ref="E127:F127"/>
    <mergeCell ref="K127:L127"/>
    <mergeCell ref="B131:D131"/>
    <mergeCell ref="E131:F131"/>
    <mergeCell ref="K131:L131"/>
    <mergeCell ref="B130:D130"/>
    <mergeCell ref="E130:F130"/>
    <mergeCell ref="K130:L130"/>
    <mergeCell ref="B164:D164"/>
    <mergeCell ref="E164:F164"/>
    <mergeCell ref="K164:L164"/>
    <mergeCell ref="B139:D139"/>
    <mergeCell ref="E139:F139"/>
    <mergeCell ref="E149:F149"/>
    <mergeCell ref="B207:D207"/>
    <mergeCell ref="E207:F207"/>
    <mergeCell ref="B132:D132"/>
    <mergeCell ref="E132:F132"/>
    <mergeCell ref="B134:D134"/>
    <mergeCell ref="E134:F134"/>
    <mergeCell ref="B138:D138"/>
    <mergeCell ref="B133:D133"/>
    <mergeCell ref="E133:F133"/>
    <mergeCell ref="E150:F150"/>
    <mergeCell ref="E160:F160"/>
    <mergeCell ref="K160:L160"/>
    <mergeCell ref="B150:D150"/>
    <mergeCell ref="K133:L133"/>
    <mergeCell ref="K135:L135"/>
    <mergeCell ref="E135:F135"/>
    <mergeCell ref="B135:D135"/>
    <mergeCell ref="B160:D160"/>
    <mergeCell ref="B213:D213"/>
    <mergeCell ref="K212:L212"/>
    <mergeCell ref="K213:L213"/>
    <mergeCell ref="E212:F212"/>
    <mergeCell ref="E213:F213"/>
    <mergeCell ref="E200:F200"/>
    <mergeCell ref="K200:L200"/>
    <mergeCell ref="B202:D202"/>
    <mergeCell ref="E202:F202"/>
    <mergeCell ref="K202:L202"/>
    <mergeCell ref="B201:D201"/>
    <mergeCell ref="E201:F201"/>
    <mergeCell ref="K201:L201"/>
    <mergeCell ref="B203:D203"/>
    <mergeCell ref="E203:F203"/>
    <mergeCell ref="K203:L203"/>
    <mergeCell ref="B209:D209"/>
    <mergeCell ref="E209:F209"/>
    <mergeCell ref="K209:L209"/>
    <mergeCell ref="K207:L207"/>
    <mergeCell ref="B208:D208"/>
    <mergeCell ref="E208:F208"/>
    <mergeCell ref="K208:L208"/>
    <mergeCell ref="K210:L210"/>
    <mergeCell ref="B302:D302"/>
    <mergeCell ref="E302:F302"/>
    <mergeCell ref="K302:L302"/>
    <mergeCell ref="B238:D238"/>
    <mergeCell ref="E238:F238"/>
    <mergeCell ref="K238:L238"/>
    <mergeCell ref="B297:D297"/>
    <mergeCell ref="E297:F297"/>
    <mergeCell ref="K297:L297"/>
    <mergeCell ref="B301:D301"/>
    <mergeCell ref="E301:F301"/>
    <mergeCell ref="K301:L301"/>
    <mergeCell ref="B298:D298"/>
    <mergeCell ref="E298:F298"/>
    <mergeCell ref="K298:L298"/>
    <mergeCell ref="B299:D299"/>
    <mergeCell ref="E299:F299"/>
    <mergeCell ref="K299:L299"/>
    <mergeCell ref="K284:L284"/>
    <mergeCell ref="B283:D283"/>
    <mergeCell ref="E283:F283"/>
    <mergeCell ref="K283:L283"/>
    <mergeCell ref="B282:D282"/>
    <mergeCell ref="E282:F282"/>
    <mergeCell ref="B140:D140"/>
    <mergeCell ref="K140:L140"/>
    <mergeCell ref="K139:L139"/>
    <mergeCell ref="K145:L145"/>
    <mergeCell ref="B151:D151"/>
    <mergeCell ref="E151:F151"/>
    <mergeCell ref="K151:L151"/>
    <mergeCell ref="B152:D152"/>
    <mergeCell ref="B145:D145"/>
    <mergeCell ref="E145:F145"/>
    <mergeCell ref="E142:F142"/>
    <mergeCell ref="B142:D142"/>
    <mergeCell ref="B153:D153"/>
    <mergeCell ref="B149:D149"/>
    <mergeCell ref="K153:L153"/>
    <mergeCell ref="B159:D159"/>
    <mergeCell ref="E159:F159"/>
    <mergeCell ref="K159:L159"/>
    <mergeCell ref="B126:D126"/>
    <mergeCell ref="E126:F126"/>
    <mergeCell ref="K126:L126"/>
    <mergeCell ref="B129:D129"/>
    <mergeCell ref="E129:F129"/>
    <mergeCell ref="K129:L129"/>
    <mergeCell ref="B128:D128"/>
    <mergeCell ref="E128:F128"/>
    <mergeCell ref="E152:F152"/>
    <mergeCell ref="K152:L152"/>
    <mergeCell ref="B141:D141"/>
    <mergeCell ref="E141:F141"/>
    <mergeCell ref="K141:L141"/>
    <mergeCell ref="B143:D143"/>
    <mergeCell ref="E143:F143"/>
    <mergeCell ref="K143:L143"/>
    <mergeCell ref="B146:D146"/>
    <mergeCell ref="E146:F146"/>
    <mergeCell ref="B123:D123"/>
    <mergeCell ref="E123:F123"/>
    <mergeCell ref="K123:L123"/>
    <mergeCell ref="B221:D221"/>
    <mergeCell ref="E221:F221"/>
    <mergeCell ref="K221:L221"/>
    <mergeCell ref="B220:D220"/>
    <mergeCell ref="E220:F220"/>
    <mergeCell ref="B205:D205"/>
    <mergeCell ref="E205:F205"/>
    <mergeCell ref="K205:L205"/>
    <mergeCell ref="B204:D204"/>
    <mergeCell ref="E204:F204"/>
    <mergeCell ref="B212:D212"/>
    <mergeCell ref="B199:D199"/>
    <mergeCell ref="E199:F199"/>
    <mergeCell ref="K199:L199"/>
    <mergeCell ref="B198:D198"/>
    <mergeCell ref="E198:F198"/>
    <mergeCell ref="K198:L198"/>
    <mergeCell ref="B200:D200"/>
    <mergeCell ref="B124:D124"/>
    <mergeCell ref="E124:F124"/>
    <mergeCell ref="K124:L124"/>
    <mergeCell ref="E121:F121"/>
    <mergeCell ref="K121:L121"/>
    <mergeCell ref="B120:D120"/>
    <mergeCell ref="E120:F120"/>
    <mergeCell ref="K120:L120"/>
    <mergeCell ref="B119:D119"/>
    <mergeCell ref="E119:F119"/>
    <mergeCell ref="K119:L119"/>
    <mergeCell ref="B122:D122"/>
    <mergeCell ref="E122:F122"/>
    <mergeCell ref="K122:L122"/>
    <mergeCell ref="K83:L83"/>
    <mergeCell ref="E96:F96"/>
    <mergeCell ref="E87:F87"/>
    <mergeCell ref="B96:D96"/>
    <mergeCell ref="E88:F88"/>
    <mergeCell ref="B112:D112"/>
    <mergeCell ref="E112:F112"/>
    <mergeCell ref="K112:L112"/>
    <mergeCell ref="K86:L86"/>
    <mergeCell ref="K88:L88"/>
    <mergeCell ref="K89:L89"/>
    <mergeCell ref="K92:L92"/>
    <mergeCell ref="K93:L93"/>
    <mergeCell ref="K94:L94"/>
    <mergeCell ref="K98:L98"/>
    <mergeCell ref="K90:L90"/>
    <mergeCell ref="K84:L84"/>
    <mergeCell ref="E90:F90"/>
    <mergeCell ref="B85:D85"/>
    <mergeCell ref="E85:F85"/>
    <mergeCell ref="K85:L85"/>
    <mergeCell ref="E89:F89"/>
    <mergeCell ref="B88:D88"/>
    <mergeCell ref="B89:D89"/>
    <mergeCell ref="B117:D117"/>
    <mergeCell ref="E117:F117"/>
    <mergeCell ref="K117:L117"/>
    <mergeCell ref="B114:D114"/>
    <mergeCell ref="E114:F114"/>
    <mergeCell ref="K114:L114"/>
    <mergeCell ref="B113:D113"/>
    <mergeCell ref="E113:F113"/>
    <mergeCell ref="K113:L113"/>
    <mergeCell ref="B290:D290"/>
    <mergeCell ref="E290:F290"/>
    <mergeCell ref="K290:L290"/>
    <mergeCell ref="B291:D291"/>
    <mergeCell ref="E291:F291"/>
    <mergeCell ref="K291:L291"/>
    <mergeCell ref="B278:D278"/>
    <mergeCell ref="E278:F278"/>
    <mergeCell ref="K278:L278"/>
    <mergeCell ref="K282:L282"/>
    <mergeCell ref="B281:D281"/>
    <mergeCell ref="E281:F281"/>
    <mergeCell ref="K281:L281"/>
    <mergeCell ref="B280:D280"/>
    <mergeCell ref="E280:F280"/>
    <mergeCell ref="K280:L280"/>
    <mergeCell ref="B279:D279"/>
    <mergeCell ref="E279:F279"/>
    <mergeCell ref="K279:L279"/>
    <mergeCell ref="B285:D285"/>
    <mergeCell ref="E285:F285"/>
    <mergeCell ref="K285:L285"/>
    <mergeCell ref="B284:D284"/>
    <mergeCell ref="B287:D287"/>
    <mergeCell ref="B286:D286"/>
    <mergeCell ref="E286:F286"/>
    <mergeCell ref="K286:L286"/>
    <mergeCell ref="B289:D289"/>
    <mergeCell ref="E289:F289"/>
    <mergeCell ref="K289:L289"/>
    <mergeCell ref="B288:D288"/>
    <mergeCell ref="E288:F288"/>
    <mergeCell ref="K288:L288"/>
    <mergeCell ref="B193:D193"/>
    <mergeCell ref="E193:F193"/>
    <mergeCell ref="K193:L193"/>
    <mergeCell ref="B194:D194"/>
    <mergeCell ref="E194:F194"/>
    <mergeCell ref="K194:L194"/>
    <mergeCell ref="B136:D136"/>
    <mergeCell ref="E136:F136"/>
    <mergeCell ref="K136:L136"/>
    <mergeCell ref="B137:D137"/>
    <mergeCell ref="E137:F137"/>
    <mergeCell ref="K137:L137"/>
    <mergeCell ref="B186:D186"/>
    <mergeCell ref="E186:F186"/>
    <mergeCell ref="K186:L186"/>
    <mergeCell ref="B187:D187"/>
    <mergeCell ref="E187:F187"/>
    <mergeCell ref="K187:L187"/>
    <mergeCell ref="B189:D189"/>
    <mergeCell ref="E189:F189"/>
    <mergeCell ref="K189:L189"/>
    <mergeCell ref="B190:D190"/>
    <mergeCell ref="E190:F190"/>
    <mergeCell ref="K190:L190"/>
    <mergeCell ref="B195:D195"/>
    <mergeCell ref="E195:F195"/>
    <mergeCell ref="K195:L195"/>
    <mergeCell ref="B197:D197"/>
    <mergeCell ref="E197:F197"/>
    <mergeCell ref="K197:L197"/>
    <mergeCell ref="B196:D196"/>
    <mergeCell ref="E196:F196"/>
    <mergeCell ref="K196:L196"/>
    <mergeCell ref="B191:D191"/>
    <mergeCell ref="E191:F191"/>
    <mergeCell ref="K191:L191"/>
    <mergeCell ref="B192:D192"/>
    <mergeCell ref="E192:F192"/>
    <mergeCell ref="K192:L192"/>
    <mergeCell ref="B188:D188"/>
    <mergeCell ref="E188:F188"/>
    <mergeCell ref="K188:L188"/>
    <mergeCell ref="E83:F83"/>
    <mergeCell ref="B185:D185"/>
    <mergeCell ref="E185:F185"/>
    <mergeCell ref="K185:L185"/>
    <mergeCell ref="B59:D59"/>
    <mergeCell ref="E59:F59"/>
    <mergeCell ref="K59:L59"/>
    <mergeCell ref="B61:D61"/>
    <mergeCell ref="E61:F61"/>
    <mergeCell ref="K61:L61"/>
    <mergeCell ref="B60:D60"/>
    <mergeCell ref="E60:F60"/>
    <mergeCell ref="K60:L60"/>
    <mergeCell ref="B162:D162"/>
    <mergeCell ref="E162:F162"/>
    <mergeCell ref="K162:L162"/>
    <mergeCell ref="B163:D163"/>
    <mergeCell ref="E163:F163"/>
    <mergeCell ref="K163:L163"/>
    <mergeCell ref="B62:D62"/>
    <mergeCell ref="E62:F62"/>
    <mergeCell ref="K62:L62"/>
    <mergeCell ref="B184:D184"/>
    <mergeCell ref="E184:F184"/>
    <mergeCell ref="K87:L87"/>
    <mergeCell ref="K81:L81"/>
    <mergeCell ref="B82:D82"/>
    <mergeCell ref="E82:F82"/>
    <mergeCell ref="K82:L82"/>
    <mergeCell ref="B183:D183"/>
    <mergeCell ref="E183:F183"/>
    <mergeCell ref="K183:L183"/>
    <mergeCell ref="B178:D178"/>
    <mergeCell ref="E178:F178"/>
    <mergeCell ref="K178:L178"/>
    <mergeCell ref="B179:D179"/>
    <mergeCell ref="E179:F179"/>
    <mergeCell ref="K179:L179"/>
    <mergeCell ref="B182:D182"/>
    <mergeCell ref="E182:F182"/>
    <mergeCell ref="K182:L182"/>
    <mergeCell ref="B181:D181"/>
    <mergeCell ref="E181:F181"/>
    <mergeCell ref="K181:L181"/>
    <mergeCell ref="B180:D180"/>
    <mergeCell ref="E180:F180"/>
    <mergeCell ref="K180:L180"/>
    <mergeCell ref="B83:D83"/>
    <mergeCell ref="K78:L78"/>
    <mergeCell ref="B79:D79"/>
    <mergeCell ref="E79:F79"/>
    <mergeCell ref="K79:L79"/>
    <mergeCell ref="B80:D80"/>
    <mergeCell ref="E80:F80"/>
    <mergeCell ref="E77:F77"/>
    <mergeCell ref="K77:L77"/>
    <mergeCell ref="B77:D77"/>
    <mergeCell ref="K80:L80"/>
    <mergeCell ref="B78:D78"/>
    <mergeCell ref="B176:D176"/>
    <mergeCell ref="E176:F176"/>
    <mergeCell ref="B174:D174"/>
    <mergeCell ref="E174:F174"/>
    <mergeCell ref="K174:L174"/>
    <mergeCell ref="B171:D171"/>
    <mergeCell ref="E171:F171"/>
    <mergeCell ref="K171:L171"/>
    <mergeCell ref="B172:D172"/>
    <mergeCell ref="E172:F172"/>
    <mergeCell ref="K172:L172"/>
    <mergeCell ref="B173:D173"/>
    <mergeCell ref="E173:F173"/>
    <mergeCell ref="K173:L173"/>
    <mergeCell ref="K42:L42"/>
    <mergeCell ref="B43:D43"/>
    <mergeCell ref="E43:F43"/>
    <mergeCell ref="K43:L43"/>
    <mergeCell ref="B44:D44"/>
    <mergeCell ref="E44:F44"/>
    <mergeCell ref="K44:L44"/>
    <mergeCell ref="B38:D38"/>
    <mergeCell ref="E38:F38"/>
    <mergeCell ref="K38:L38"/>
    <mergeCell ref="B40:D40"/>
    <mergeCell ref="E40:F40"/>
    <mergeCell ref="K40:L40"/>
    <mergeCell ref="B41:D41"/>
    <mergeCell ref="E41:F41"/>
    <mergeCell ref="K41:L41"/>
    <mergeCell ref="B39:D39"/>
    <mergeCell ref="E39:F39"/>
    <mergeCell ref="K39:L39"/>
    <mergeCell ref="K29:L29"/>
    <mergeCell ref="B30:D30"/>
    <mergeCell ref="E30:F30"/>
    <mergeCell ref="K30:L30"/>
    <mergeCell ref="B37:D37"/>
    <mergeCell ref="E37:F37"/>
    <mergeCell ref="K37:L37"/>
    <mergeCell ref="B35:D35"/>
    <mergeCell ref="E35:F35"/>
    <mergeCell ref="K35:L35"/>
    <mergeCell ref="B34:D34"/>
    <mergeCell ref="E34:F34"/>
    <mergeCell ref="K34:L34"/>
    <mergeCell ref="B32:D32"/>
    <mergeCell ref="E32:F32"/>
    <mergeCell ref="K32:L32"/>
    <mergeCell ref="B33:D33"/>
    <mergeCell ref="E33:F33"/>
    <mergeCell ref="K33:L33"/>
    <mergeCell ref="B36:D36"/>
    <mergeCell ref="E36:F36"/>
    <mergeCell ref="K36:L36"/>
    <mergeCell ref="K31:L31"/>
    <mergeCell ref="B31:D31"/>
    <mergeCell ref="B26:D26"/>
    <mergeCell ref="E26:F26"/>
    <mergeCell ref="K26:L26"/>
    <mergeCell ref="B23:D23"/>
    <mergeCell ref="E23:F23"/>
    <mergeCell ref="K23:L23"/>
    <mergeCell ref="B22:D22"/>
    <mergeCell ref="E22:F22"/>
    <mergeCell ref="K22:L22"/>
    <mergeCell ref="B24:D24"/>
    <mergeCell ref="E24:F24"/>
    <mergeCell ref="K24:L24"/>
    <mergeCell ref="B28:D28"/>
    <mergeCell ref="E28:F28"/>
    <mergeCell ref="K28:L28"/>
    <mergeCell ref="B29:D29"/>
    <mergeCell ref="E29:F29"/>
    <mergeCell ref="B16:D16"/>
    <mergeCell ref="E16:F16"/>
    <mergeCell ref="K16:L16"/>
    <mergeCell ref="B15:D15"/>
    <mergeCell ref="E15:F15"/>
    <mergeCell ref="K15:L15"/>
    <mergeCell ref="B18:D18"/>
    <mergeCell ref="E18:F18"/>
    <mergeCell ref="K18:L18"/>
    <mergeCell ref="K19:L19"/>
    <mergeCell ref="B17:D17"/>
    <mergeCell ref="E17:F17"/>
    <mergeCell ref="K17:L17"/>
    <mergeCell ref="B25:D25"/>
    <mergeCell ref="E25:F25"/>
    <mergeCell ref="K25:L25"/>
    <mergeCell ref="B27:D27"/>
    <mergeCell ref="E27:F27"/>
    <mergeCell ref="K27:L27"/>
    <mergeCell ref="B1:P2"/>
    <mergeCell ref="B3:E11"/>
    <mergeCell ref="F3:H11"/>
    <mergeCell ref="I3:J3"/>
    <mergeCell ref="K3:M3"/>
    <mergeCell ref="N3:P11"/>
    <mergeCell ref="I4:J4"/>
    <mergeCell ref="K4:M4"/>
    <mergeCell ref="I5:J5"/>
    <mergeCell ref="K5:M5"/>
    <mergeCell ref="I6:J6"/>
    <mergeCell ref="K6:M6"/>
    <mergeCell ref="I7:J7"/>
    <mergeCell ref="K7:M7"/>
    <mergeCell ref="I8:J8"/>
    <mergeCell ref="K8:M8"/>
    <mergeCell ref="I9:J9"/>
    <mergeCell ref="K9:M9"/>
    <mergeCell ref="I10:J10"/>
    <mergeCell ref="K10:M10"/>
    <mergeCell ref="B13:D13"/>
    <mergeCell ref="E13:F13"/>
    <mergeCell ref="K13:L13"/>
    <mergeCell ref="I11:J11"/>
    <mergeCell ref="K11:M11"/>
    <mergeCell ref="B177:D177"/>
    <mergeCell ref="E177:F177"/>
    <mergeCell ref="B165:D165"/>
    <mergeCell ref="E165:F165"/>
    <mergeCell ref="B166:D166"/>
    <mergeCell ref="E166:F166"/>
    <mergeCell ref="B12:D12"/>
    <mergeCell ref="E12:F12"/>
    <mergeCell ref="K12:L12"/>
    <mergeCell ref="B14:D14"/>
    <mergeCell ref="E14:F14"/>
    <mergeCell ref="K14:L14"/>
    <mergeCell ref="B20:D20"/>
    <mergeCell ref="E20:F20"/>
    <mergeCell ref="K20:L20"/>
    <mergeCell ref="B21:D21"/>
    <mergeCell ref="E21:F21"/>
    <mergeCell ref="K21:L21"/>
    <mergeCell ref="B19:D19"/>
    <mergeCell ref="B101:D101"/>
    <mergeCell ref="B102:D102"/>
    <mergeCell ref="B103:D103"/>
    <mergeCell ref="B104:D104"/>
    <mergeCell ref="E98:F98"/>
    <mergeCell ref="E97:F97"/>
    <mergeCell ref="E101:F101"/>
    <mergeCell ref="E100:F100"/>
    <mergeCell ref="E99:F99"/>
    <mergeCell ref="E104:F104"/>
    <mergeCell ref="E103:F103"/>
    <mergeCell ref="E102:F102"/>
    <mergeCell ref="B107:D107"/>
    <mergeCell ref="B108:D108"/>
    <mergeCell ref="B109:D109"/>
    <mergeCell ref="B105:D105"/>
    <mergeCell ref="B110:D110"/>
    <mergeCell ref="E110:F110"/>
    <mergeCell ref="B115:D115"/>
    <mergeCell ref="E115:F115"/>
    <mergeCell ref="B111:D111"/>
    <mergeCell ref="B106:D106"/>
    <mergeCell ref="E107:F107"/>
    <mergeCell ref="E218:F218"/>
    <mergeCell ref="B215:D215"/>
    <mergeCell ref="B216:D216"/>
    <mergeCell ref="E245:F245"/>
    <mergeCell ref="B251:D251"/>
    <mergeCell ref="E251:F251"/>
    <mergeCell ref="B242:D242"/>
    <mergeCell ref="E242:F242"/>
    <mergeCell ref="E19:F19"/>
    <mergeCell ref="E31:F31"/>
    <mergeCell ref="B42:D42"/>
    <mergeCell ref="E42:F42"/>
    <mergeCell ref="B175:D175"/>
    <mergeCell ref="E175:F175"/>
    <mergeCell ref="E78:F78"/>
    <mergeCell ref="B81:D81"/>
    <mergeCell ref="E81:F81"/>
    <mergeCell ref="B87:D87"/>
    <mergeCell ref="B95:D95"/>
    <mergeCell ref="B84:D84"/>
    <mergeCell ref="E84:F84"/>
    <mergeCell ref="E93:F93"/>
    <mergeCell ref="E92:F92"/>
    <mergeCell ref="B92:D92"/>
    <mergeCell ref="E224:F224"/>
    <mergeCell ref="E225:F225"/>
    <mergeCell ref="E235:F235"/>
    <mergeCell ref="B236:D236"/>
    <mergeCell ref="E236:F236"/>
    <mergeCell ref="B227:D227"/>
    <mergeCell ref="E227:F227"/>
    <mergeCell ref="B228:D228"/>
    <mergeCell ref="E228:F228"/>
    <mergeCell ref="B235:D235"/>
    <mergeCell ref="K100:L100"/>
    <mergeCell ref="B90:D90"/>
    <mergeCell ref="K99:L99"/>
    <mergeCell ref="K91:L91"/>
    <mergeCell ref="K95:L95"/>
    <mergeCell ref="B100:D100"/>
    <mergeCell ref="B91:D91"/>
    <mergeCell ref="K96:L96"/>
    <mergeCell ref="K97:L97"/>
    <mergeCell ref="E95:F95"/>
    <mergeCell ref="E94:F94"/>
    <mergeCell ref="B93:D93"/>
    <mergeCell ref="B94:D94"/>
    <mergeCell ref="B98:D98"/>
    <mergeCell ref="B99:D99"/>
    <mergeCell ref="B97:D97"/>
    <mergeCell ref="E91:F91"/>
    <mergeCell ref="B256:D256"/>
    <mergeCell ref="E109:F109"/>
    <mergeCell ref="E248:F248"/>
    <mergeCell ref="B232:D232"/>
    <mergeCell ref="E232:F232"/>
    <mergeCell ref="B229:D229"/>
    <mergeCell ref="E229:F229"/>
    <mergeCell ref="B230:D230"/>
    <mergeCell ref="B86:D86"/>
    <mergeCell ref="E86:F86"/>
    <mergeCell ref="E105:F105"/>
    <mergeCell ref="B118:D118"/>
    <mergeCell ref="E118:F118"/>
    <mergeCell ref="B116:D116"/>
    <mergeCell ref="E116:F116"/>
    <mergeCell ref="B121:D121"/>
    <mergeCell ref="B239:D239"/>
    <mergeCell ref="E239:F239"/>
    <mergeCell ref="B167:D167"/>
    <mergeCell ref="E167:F167"/>
    <mergeCell ref="B168:D168"/>
    <mergeCell ref="E168:F168"/>
    <mergeCell ref="B170:D170"/>
    <mergeCell ref="E170:F170"/>
    <mergeCell ref="B255:D255"/>
    <mergeCell ref="E138:F138"/>
    <mergeCell ref="E156:F156"/>
    <mergeCell ref="E155:F155"/>
    <mergeCell ref="E154:F154"/>
    <mergeCell ref="E158:F158"/>
    <mergeCell ref="E157:F157"/>
    <mergeCell ref="B154:D154"/>
    <mergeCell ref="B155:D155"/>
    <mergeCell ref="B156:D156"/>
    <mergeCell ref="B157:D157"/>
    <mergeCell ref="B158:D158"/>
    <mergeCell ref="B223:D223"/>
    <mergeCell ref="E223:F223"/>
    <mergeCell ref="E255:F255"/>
    <mergeCell ref="B169:D169"/>
    <mergeCell ref="B254:D254"/>
    <mergeCell ref="E254:F254"/>
    <mergeCell ref="B214:D214"/>
    <mergeCell ref="E214:F214"/>
    <mergeCell ref="B219:D219"/>
    <mergeCell ref="E219:F219"/>
    <mergeCell ref="B224:D224"/>
    <mergeCell ref="B222:D222"/>
    <mergeCell ref="E222:F222"/>
    <mergeCell ref="K218:L218"/>
    <mergeCell ref="K215:L215"/>
    <mergeCell ref="K216:L216"/>
    <mergeCell ref="B234:D234"/>
    <mergeCell ref="K233:L233"/>
    <mergeCell ref="E216:F216"/>
    <mergeCell ref="E215:F215"/>
    <mergeCell ref="B217:D217"/>
    <mergeCell ref="B226:D226"/>
    <mergeCell ref="E226:F226"/>
    <mergeCell ref="B225:D225"/>
    <mergeCell ref="K222:L222"/>
    <mergeCell ref="K219:L219"/>
    <mergeCell ref="K224:L224"/>
    <mergeCell ref="K225:L225"/>
    <mergeCell ref="E230:F230"/>
    <mergeCell ref="B231:D231"/>
    <mergeCell ref="E231:F231"/>
    <mergeCell ref="K232:L232"/>
    <mergeCell ref="B218:D218"/>
    <mergeCell ref="K226:L226"/>
    <mergeCell ref="K227:L227"/>
    <mergeCell ref="K229:L229"/>
    <mergeCell ref="K236:L236"/>
    <mergeCell ref="B233:D233"/>
    <mergeCell ref="E233:F233"/>
    <mergeCell ref="B249:D249"/>
    <mergeCell ref="K240:L240"/>
    <mergeCell ref="B253:D253"/>
    <mergeCell ref="E253:F253"/>
    <mergeCell ref="B241:D241"/>
    <mergeCell ref="E241:F241"/>
    <mergeCell ref="B237:D237"/>
    <mergeCell ref="K242:L242"/>
    <mergeCell ref="B243:D243"/>
    <mergeCell ref="E243:F243"/>
    <mergeCell ref="K243:L243"/>
    <mergeCell ref="B240:D240"/>
    <mergeCell ref="K239:L239"/>
    <mergeCell ref="E234:F234"/>
    <mergeCell ref="K234:L234"/>
    <mergeCell ref="B250:D250"/>
    <mergeCell ref="B247:D247"/>
    <mergeCell ref="B248:D248"/>
    <mergeCell ref="B244:D244"/>
    <mergeCell ref="K248:L248"/>
    <mergeCell ref="K241:L241"/>
    <mergeCell ref="B277:D277"/>
    <mergeCell ref="E277:F277"/>
    <mergeCell ref="K277:L277"/>
    <mergeCell ref="B266:D266"/>
    <mergeCell ref="E266:G266"/>
    <mergeCell ref="B267:D267"/>
    <mergeCell ref="K267:L267"/>
    <mergeCell ref="K266:L266"/>
    <mergeCell ref="E267:F267"/>
    <mergeCell ref="B268:D268"/>
    <mergeCell ref="K272:L272"/>
    <mergeCell ref="K273:L273"/>
    <mergeCell ref="K268:L268"/>
    <mergeCell ref="B275:D275"/>
    <mergeCell ref="E275:F275"/>
    <mergeCell ref="K271:L271"/>
    <mergeCell ref="B269:D269"/>
    <mergeCell ref="E269:F269"/>
    <mergeCell ref="K269:L269"/>
    <mergeCell ref="B270:D270"/>
    <mergeCell ref="K270:L270"/>
    <mergeCell ref="E270:F270"/>
    <mergeCell ref="B271:D271"/>
    <mergeCell ref="K275:L275"/>
    <mergeCell ref="B257:D257"/>
    <mergeCell ref="E257:F257"/>
    <mergeCell ref="K257:L257"/>
    <mergeCell ref="E260:F260"/>
    <mergeCell ref="B258:D258"/>
    <mergeCell ref="E258:F258"/>
    <mergeCell ref="K258:L258"/>
    <mergeCell ref="K276:L276"/>
    <mergeCell ref="E276:F276"/>
    <mergeCell ref="B276:D276"/>
    <mergeCell ref="E265:F265"/>
    <mergeCell ref="B264:D264"/>
    <mergeCell ref="E264:F264"/>
    <mergeCell ref="B265:D265"/>
    <mergeCell ref="I268:J268"/>
    <mergeCell ref="E268:F268"/>
    <mergeCell ref="B260:D260"/>
    <mergeCell ref="E250:F250"/>
    <mergeCell ref="E247:F247"/>
    <mergeCell ref="E244:F244"/>
    <mergeCell ref="K244:L244"/>
    <mergeCell ref="E284:F284"/>
    <mergeCell ref="K263:L263"/>
    <mergeCell ref="E287:F287"/>
    <mergeCell ref="K287:L287"/>
    <mergeCell ref="K256:L256"/>
    <mergeCell ref="E256:F256"/>
    <mergeCell ref="K245:L245"/>
    <mergeCell ref="K251:L251"/>
    <mergeCell ref="E296:F296"/>
    <mergeCell ref="K296:L296"/>
    <mergeCell ref="E111:F111"/>
    <mergeCell ref="E261:F261"/>
    <mergeCell ref="E262:F262"/>
    <mergeCell ref="E263:F263"/>
    <mergeCell ref="K255:L255"/>
    <mergeCell ref="E144:F144"/>
    <mergeCell ref="K228:L228"/>
    <mergeCell ref="E240:F240"/>
    <mergeCell ref="K231:L231"/>
    <mergeCell ref="E237:F237"/>
    <mergeCell ref="K146:L146"/>
    <mergeCell ref="E169:F169"/>
    <mergeCell ref="K169:L169"/>
    <mergeCell ref="K230:L230"/>
    <mergeCell ref="E294:F294"/>
    <mergeCell ref="K294:L294"/>
    <mergeCell ref="E153:F153"/>
    <mergeCell ref="K253:L253"/>
    <mergeCell ref="K254:L254"/>
    <mergeCell ref="E249:F249"/>
    <mergeCell ref="K249:L249"/>
    <mergeCell ref="K250:L250"/>
    <mergeCell ref="B292:D292"/>
    <mergeCell ref="B293:D293"/>
    <mergeCell ref="B294:D294"/>
    <mergeCell ref="B295:D295"/>
    <mergeCell ref="B296:D296"/>
    <mergeCell ref="B144:D144"/>
    <mergeCell ref="K235:L235"/>
    <mergeCell ref="K237:L237"/>
    <mergeCell ref="K247:L247"/>
    <mergeCell ref="B261:D261"/>
    <mergeCell ref="B262:D262"/>
    <mergeCell ref="K261:L261"/>
    <mergeCell ref="K262:L262"/>
    <mergeCell ref="B263:D263"/>
    <mergeCell ref="B259:D259"/>
    <mergeCell ref="E259:F259"/>
    <mergeCell ref="E295:F295"/>
    <mergeCell ref="K295:L295"/>
    <mergeCell ref="K265:L265"/>
    <mergeCell ref="K259:L259"/>
    <mergeCell ref="E292:F292"/>
    <mergeCell ref="K292:L292"/>
    <mergeCell ref="E293:F293"/>
    <mergeCell ref="K293:L293"/>
    <mergeCell ref="K109:L109"/>
    <mergeCell ref="K108:L108"/>
    <mergeCell ref="K177:L177"/>
    <mergeCell ref="K165:L165"/>
    <mergeCell ref="K166:L166"/>
    <mergeCell ref="K128:L128"/>
    <mergeCell ref="K138:L138"/>
    <mergeCell ref="K134:L134"/>
    <mergeCell ref="K204:L204"/>
    <mergeCell ref="K110:L110"/>
    <mergeCell ref="K115:L115"/>
    <mergeCell ref="K111:L111"/>
    <mergeCell ref="K175:L175"/>
    <mergeCell ref="K184:L184"/>
    <mergeCell ref="K214:L214"/>
    <mergeCell ref="K118:L118"/>
    <mergeCell ref="K116:L116"/>
    <mergeCell ref="K142:L142"/>
    <mergeCell ref="K132:L132"/>
    <mergeCell ref="K206:L206"/>
    <mergeCell ref="K176:L176"/>
    <mergeCell ref="K223:L223"/>
    <mergeCell ref="K167:L167"/>
    <mergeCell ref="K168:L168"/>
    <mergeCell ref="K170:L170"/>
    <mergeCell ref="K154:L154"/>
    <mergeCell ref="K155:L155"/>
    <mergeCell ref="K156:L156"/>
    <mergeCell ref="K157:L157"/>
    <mergeCell ref="K158:L158"/>
    <mergeCell ref="K144:L144"/>
    <mergeCell ref="K101:L101"/>
    <mergeCell ref="K102:L102"/>
    <mergeCell ref="K104:L104"/>
    <mergeCell ref="K105:L105"/>
    <mergeCell ref="K106:L106"/>
    <mergeCell ref="K107:L107"/>
    <mergeCell ref="K103:L103"/>
    <mergeCell ref="E108:F108"/>
    <mergeCell ref="E106:F106"/>
  </mergeCells>
  <phoneticPr fontId="17" type="noConversion"/>
  <dataValidations count="1">
    <dataValidation type="list" allowBlank="1" showInputMessage="1" showErrorMessage="1" sqref="G15:G304" xr:uid="{60A96E3A-5524-4046-9A5E-863ABBAD8EF9}">
      <formula1>"Mat,MO"</formula1>
    </dataValidation>
  </dataValidations>
  <pageMargins left="0.7" right="0.7" top="0.75" bottom="0.75" header="0.3" footer="0.3"/>
  <pageSetup paperSize="9" scale="43" fitToHeight="0" orientation="landscape" horizontalDpi="300" verticalDpi="300" r:id="rId1"/>
  <headerFooter alignWithMargins="0"/>
  <rowBreaks count="2" manualBreakCount="2">
    <brk id="67" min="1" max="15" man="1"/>
    <brk id="133" min="1" max="1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AC2D0-E410-4953-AACE-91E605DCA7F9}">
  <sheetPr>
    <tabColor rgb="FFFF0000"/>
  </sheetPr>
  <dimension ref="A2:XFD83"/>
  <sheetViews>
    <sheetView zoomScale="80" zoomScaleNormal="80" workbookViewId="0">
      <selection activeCell="B38" sqref="B38"/>
    </sheetView>
  </sheetViews>
  <sheetFormatPr defaultRowHeight="15"/>
  <cols>
    <col min="2" max="2" width="143.140625" customWidth="1"/>
    <col min="3" max="3" width="4.85546875" bestFit="1" customWidth="1"/>
    <col min="4" max="4" width="13.28515625" customWidth="1"/>
    <col min="5" max="5" width="9" bestFit="1" customWidth="1"/>
    <col min="6" max="6" width="9.140625" style="113"/>
    <col min="7" max="7" width="18.140625" customWidth="1"/>
  </cols>
  <sheetData>
    <row r="2" spans="2:7">
      <c r="B2" s="552"/>
      <c r="C2" s="552"/>
      <c r="D2" s="552"/>
      <c r="E2" s="552"/>
    </row>
    <row r="3" spans="2:7">
      <c r="B3" s="109" t="s">
        <v>650</v>
      </c>
      <c r="C3" s="109" t="s">
        <v>773</v>
      </c>
      <c r="D3" s="109" t="s">
        <v>683</v>
      </c>
      <c r="E3" s="109" t="s">
        <v>651</v>
      </c>
      <c r="F3" s="118" t="s">
        <v>36</v>
      </c>
    </row>
    <row r="4" spans="2:7">
      <c r="B4" s="249" t="s">
        <v>652</v>
      </c>
      <c r="C4" s="114">
        <v>1</v>
      </c>
      <c r="D4" s="120"/>
      <c r="E4" s="114" t="s">
        <v>653</v>
      </c>
      <c r="F4" s="113">
        <f>1600/1000</f>
        <v>1.6</v>
      </c>
    </row>
    <row r="5" spans="2:7">
      <c r="B5" s="249" t="s">
        <v>654</v>
      </c>
      <c r="C5" s="114">
        <v>1</v>
      </c>
      <c r="D5" s="120">
        <f>285.99*1.1</f>
        <v>314.58900000000006</v>
      </c>
      <c r="E5" s="114" t="s">
        <v>653</v>
      </c>
      <c r="G5" t="s">
        <v>852</v>
      </c>
    </row>
    <row r="6" spans="2:7">
      <c r="B6" s="249" t="s">
        <v>655</v>
      </c>
      <c r="C6" s="114">
        <v>1</v>
      </c>
      <c r="D6" s="120"/>
      <c r="E6" s="114" t="s">
        <v>653</v>
      </c>
      <c r="F6" s="113">
        <v>0.25</v>
      </c>
    </row>
    <row r="7" spans="2:7">
      <c r="B7" s="15" t="s">
        <v>656</v>
      </c>
      <c r="C7" s="114">
        <v>1</v>
      </c>
      <c r="D7" s="120"/>
      <c r="E7" s="114" t="s">
        <v>316</v>
      </c>
    </row>
    <row r="8" spans="2:7">
      <c r="B8" s="15" t="s">
        <v>657</v>
      </c>
      <c r="C8" s="114">
        <v>1</v>
      </c>
      <c r="D8" s="120"/>
      <c r="E8" s="114" t="s">
        <v>653</v>
      </c>
    </row>
    <row r="9" spans="2:7">
      <c r="B9" s="15" t="s">
        <v>658</v>
      </c>
      <c r="C9" s="114">
        <v>1</v>
      </c>
      <c r="D9" s="120">
        <f>12580*1.1</f>
        <v>13838.000000000002</v>
      </c>
      <c r="E9" s="114" t="s">
        <v>653</v>
      </c>
      <c r="G9" t="s">
        <v>849</v>
      </c>
    </row>
    <row r="10" spans="2:7">
      <c r="B10" s="15" t="s">
        <v>659</v>
      </c>
      <c r="C10" s="114">
        <v>1</v>
      </c>
      <c r="D10" s="120"/>
      <c r="E10" s="114" t="s">
        <v>653</v>
      </c>
    </row>
    <row r="11" spans="2:7">
      <c r="B11" s="15" t="s">
        <v>660</v>
      </c>
      <c r="C11" s="114">
        <v>1</v>
      </c>
      <c r="D11" s="120"/>
      <c r="E11" s="114" t="s">
        <v>653</v>
      </c>
      <c r="F11" s="113">
        <f>700/1000</f>
        <v>0.7</v>
      </c>
    </row>
    <row r="12" spans="2:7">
      <c r="B12" s="15" t="s">
        <v>661</v>
      </c>
      <c r="C12" s="114">
        <v>1</v>
      </c>
      <c r="D12" s="120"/>
      <c r="E12" s="114" t="s">
        <v>653</v>
      </c>
    </row>
    <row r="13" spans="2:7">
      <c r="B13" s="15" t="s">
        <v>662</v>
      </c>
      <c r="C13" s="114">
        <v>1</v>
      </c>
      <c r="D13" s="120"/>
      <c r="E13" s="114" t="s">
        <v>653</v>
      </c>
    </row>
    <row r="14" spans="2:7">
      <c r="B14" s="15" t="s">
        <v>663</v>
      </c>
      <c r="C14" s="114">
        <v>1</v>
      </c>
      <c r="D14" s="120">
        <f>F14*1602</f>
        <v>2018.52</v>
      </c>
      <c r="E14" s="114" t="s">
        <v>653</v>
      </c>
      <c r="F14" s="113">
        <v>1.26</v>
      </c>
    </row>
    <row r="15" spans="2:7">
      <c r="B15" s="15" t="s">
        <v>660</v>
      </c>
      <c r="C15" s="114">
        <v>1</v>
      </c>
      <c r="D15" s="120"/>
      <c r="E15" s="114" t="s">
        <v>653</v>
      </c>
      <c r="F15" s="113">
        <f>700/1000</f>
        <v>0.7</v>
      </c>
    </row>
    <row r="16" spans="2:7">
      <c r="B16" s="15" t="s">
        <v>664</v>
      </c>
      <c r="C16" s="114">
        <v>1</v>
      </c>
      <c r="D16" s="120"/>
      <c r="E16" s="114" t="s">
        <v>653</v>
      </c>
    </row>
    <row r="17" spans="2:7">
      <c r="B17" s="15" t="s">
        <v>665</v>
      </c>
      <c r="C17" s="114">
        <v>1</v>
      </c>
      <c r="D17" s="120"/>
      <c r="E17" s="114" t="s">
        <v>653</v>
      </c>
      <c r="F17" s="113">
        <v>0.7</v>
      </c>
    </row>
    <row r="18" spans="2:7">
      <c r="B18" s="15" t="s">
        <v>666</v>
      </c>
      <c r="C18" s="114">
        <v>1</v>
      </c>
      <c r="D18" s="120"/>
      <c r="E18" s="114" t="s">
        <v>653</v>
      </c>
    </row>
    <row r="19" spans="2:7">
      <c r="B19" s="15" t="s">
        <v>667</v>
      </c>
      <c r="C19" s="114">
        <v>1</v>
      </c>
      <c r="D19" s="120">
        <f>94.05*1.2</f>
        <v>112.86</v>
      </c>
      <c r="E19" s="114" t="s">
        <v>653</v>
      </c>
      <c r="G19" t="s">
        <v>844</v>
      </c>
    </row>
    <row r="20" spans="2:7">
      <c r="B20" s="15" t="s">
        <v>668</v>
      </c>
      <c r="C20" s="114">
        <v>1</v>
      </c>
      <c r="D20" s="175">
        <f>664.69*1.1</f>
        <v>731.15900000000011</v>
      </c>
      <c r="E20" s="114" t="s">
        <v>653</v>
      </c>
      <c r="G20" s="176" t="s">
        <v>845</v>
      </c>
    </row>
    <row r="21" spans="2:7">
      <c r="B21" s="15" t="s">
        <v>669</v>
      </c>
      <c r="C21" s="114">
        <v>1</v>
      </c>
      <c r="D21" s="120">
        <f>457.35*1.1</f>
        <v>503.08500000000009</v>
      </c>
      <c r="E21" s="114" t="s">
        <v>653</v>
      </c>
      <c r="G21" t="s">
        <v>846</v>
      </c>
    </row>
    <row r="22" spans="2:7">
      <c r="B22" s="15" t="s">
        <v>670</v>
      </c>
      <c r="C22" s="114">
        <v>1</v>
      </c>
      <c r="D22" s="120">
        <f>647.04-1.1</f>
        <v>645.93999999999994</v>
      </c>
      <c r="E22" s="114" t="s">
        <v>653</v>
      </c>
      <c r="F22" s="113">
        <v>6</v>
      </c>
      <c r="G22" t="s">
        <v>847</v>
      </c>
    </row>
    <row r="23" spans="2:7">
      <c r="B23" s="15" t="s">
        <v>671</v>
      </c>
      <c r="C23" s="114">
        <v>1</v>
      </c>
      <c r="D23" s="120">
        <v>2193</v>
      </c>
      <c r="E23" s="114" t="s">
        <v>653</v>
      </c>
    </row>
    <row r="24" spans="2:7">
      <c r="B24" s="15" t="s">
        <v>672</v>
      </c>
      <c r="C24" s="114">
        <v>1</v>
      </c>
      <c r="D24" s="120">
        <f>176.53*1.1</f>
        <v>194.18300000000002</v>
      </c>
      <c r="E24" s="114" t="s">
        <v>316</v>
      </c>
      <c r="G24" t="s">
        <v>848</v>
      </c>
    </row>
    <row r="25" spans="2:7">
      <c r="B25" s="15" t="s">
        <v>673</v>
      </c>
      <c r="C25" s="114">
        <v>1</v>
      </c>
      <c r="D25" s="120">
        <v>506.94</v>
      </c>
      <c r="E25" s="114" t="s">
        <v>316</v>
      </c>
    </row>
    <row r="26" spans="2:7">
      <c r="B26" s="15" t="s">
        <v>674</v>
      </c>
      <c r="C26" s="114">
        <v>1</v>
      </c>
      <c r="D26" s="120"/>
      <c r="E26" s="114" t="s">
        <v>316</v>
      </c>
    </row>
    <row r="27" spans="2:7">
      <c r="B27" s="15" t="s">
        <v>675</v>
      </c>
      <c r="C27" s="114">
        <v>1</v>
      </c>
      <c r="D27" s="120"/>
      <c r="E27" s="114" t="s">
        <v>316</v>
      </c>
    </row>
    <row r="28" spans="2:7">
      <c r="B28" s="15" t="s">
        <v>676</v>
      </c>
      <c r="C28" s="114">
        <v>1</v>
      </c>
      <c r="D28" s="120"/>
      <c r="E28" s="114" t="s">
        <v>316</v>
      </c>
    </row>
    <row r="29" spans="2:7">
      <c r="B29" s="15" t="s">
        <v>677</v>
      </c>
      <c r="C29" s="114">
        <v>1</v>
      </c>
      <c r="D29" s="120"/>
      <c r="E29" s="114" t="s">
        <v>316</v>
      </c>
    </row>
    <row r="30" spans="2:7">
      <c r="B30" s="15" t="s">
        <v>678</v>
      </c>
      <c r="C30" s="114">
        <v>5</v>
      </c>
      <c r="D30" s="120"/>
      <c r="E30" s="114" t="s">
        <v>316</v>
      </c>
    </row>
    <row r="31" spans="2:7">
      <c r="B31" s="15" t="s">
        <v>679</v>
      </c>
      <c r="C31" s="114">
        <v>1</v>
      </c>
      <c r="D31" s="120"/>
      <c r="E31" s="114" t="s">
        <v>316</v>
      </c>
    </row>
    <row r="32" spans="2:7">
      <c r="B32" s="182" t="s">
        <v>680</v>
      </c>
      <c r="C32" s="183">
        <v>1</v>
      </c>
      <c r="D32" s="184"/>
      <c r="E32" s="183" t="s">
        <v>316</v>
      </c>
    </row>
    <row r="33" spans="1:16384" ht="14.45" customHeight="1">
      <c r="A33" s="185"/>
      <c r="B33" s="186" t="s">
        <v>853</v>
      </c>
      <c r="C33" s="110">
        <v>1</v>
      </c>
      <c r="D33" s="111">
        <f>674.82*2</f>
        <v>1349.64</v>
      </c>
      <c r="E33" s="114" t="s">
        <v>653</v>
      </c>
      <c r="F33" s="185"/>
      <c r="G33" s="187" t="s">
        <v>854</v>
      </c>
      <c r="H33" s="185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51"/>
      <c r="AB33" s="551"/>
      <c r="AC33" s="551"/>
      <c r="AD33" s="551"/>
      <c r="AE33" s="551"/>
      <c r="AF33" s="551"/>
      <c r="AG33" s="551"/>
      <c r="AH33" s="551"/>
      <c r="AI33" s="551"/>
      <c r="AJ33" s="551"/>
      <c r="AK33" s="551"/>
      <c r="AL33" s="551"/>
      <c r="AM33" s="551"/>
      <c r="AN33" s="551"/>
      <c r="AO33" s="551"/>
      <c r="AP33" s="551"/>
      <c r="AQ33" s="551"/>
      <c r="AR33" s="551"/>
      <c r="AS33" s="551"/>
      <c r="AT33" s="551"/>
      <c r="AU33" s="551"/>
      <c r="AV33" s="551"/>
      <c r="AW33" s="551"/>
      <c r="AX33" s="551"/>
      <c r="AY33" s="551"/>
      <c r="AZ33" s="551"/>
      <c r="BA33" s="551"/>
      <c r="BB33" s="551"/>
      <c r="BC33" s="551"/>
      <c r="BD33" s="551"/>
      <c r="BE33" s="551"/>
      <c r="BF33" s="551"/>
      <c r="BG33" s="551"/>
      <c r="BH33" s="551"/>
      <c r="BI33" s="551"/>
      <c r="BJ33" s="551"/>
      <c r="BK33" s="551"/>
      <c r="BL33" s="551"/>
      <c r="BM33" s="551"/>
      <c r="BN33" s="551"/>
      <c r="BO33" s="551"/>
      <c r="BP33" s="551"/>
      <c r="BQ33" s="551"/>
      <c r="BR33" s="551"/>
      <c r="BS33" s="551"/>
      <c r="BT33" s="551"/>
      <c r="BU33" s="551"/>
      <c r="BV33" s="551"/>
      <c r="BW33" s="551"/>
      <c r="BX33" s="551"/>
      <c r="BY33" s="551"/>
      <c r="BZ33" s="551"/>
      <c r="CA33" s="551"/>
      <c r="CB33" s="551"/>
      <c r="CC33" s="551"/>
      <c r="CD33" s="551"/>
      <c r="CE33" s="551"/>
      <c r="CF33" s="551"/>
      <c r="CG33" s="551"/>
      <c r="CH33" s="551"/>
      <c r="CI33" s="551"/>
      <c r="CJ33" s="551"/>
      <c r="CK33" s="551"/>
      <c r="CL33" s="551"/>
      <c r="CM33" s="551"/>
      <c r="CN33" s="551"/>
      <c r="CO33" s="551"/>
      <c r="CP33" s="551"/>
      <c r="CQ33" s="551"/>
      <c r="CR33" s="551"/>
      <c r="CS33" s="551"/>
      <c r="CT33" s="551"/>
      <c r="CU33" s="551"/>
      <c r="CV33" s="551"/>
      <c r="CW33" s="551"/>
      <c r="CX33" s="551"/>
      <c r="CY33" s="551"/>
      <c r="CZ33" s="551"/>
      <c r="DA33" s="551"/>
      <c r="DB33" s="551"/>
      <c r="DC33" s="551"/>
      <c r="DD33" s="551"/>
      <c r="DE33" s="551"/>
      <c r="DF33" s="551"/>
      <c r="DG33" s="551"/>
      <c r="DH33" s="551"/>
      <c r="DI33" s="551"/>
      <c r="DJ33" s="551"/>
      <c r="DK33" s="551"/>
      <c r="DL33" s="551"/>
      <c r="DM33" s="551"/>
      <c r="DN33" s="551"/>
      <c r="DO33" s="551"/>
      <c r="DP33" s="551"/>
      <c r="DQ33" s="551"/>
      <c r="DR33" s="551"/>
      <c r="DS33" s="551"/>
      <c r="DT33" s="551"/>
      <c r="DU33" s="551"/>
      <c r="DV33" s="551"/>
      <c r="DW33" s="551"/>
      <c r="DX33" s="551"/>
      <c r="DY33" s="551"/>
      <c r="DZ33" s="551"/>
      <c r="EA33" s="551"/>
      <c r="EB33" s="551"/>
      <c r="EC33" s="551"/>
      <c r="ED33" s="551"/>
      <c r="EE33" s="551"/>
      <c r="EF33" s="551"/>
      <c r="EG33" s="551"/>
      <c r="EH33" s="551"/>
      <c r="EI33" s="551"/>
      <c r="EJ33" s="551"/>
      <c r="EK33" s="551"/>
      <c r="EL33" s="551"/>
      <c r="EM33" s="551"/>
      <c r="EN33" s="551"/>
      <c r="EO33" s="551"/>
      <c r="EP33" s="551"/>
      <c r="EQ33" s="551"/>
      <c r="ER33" s="551"/>
      <c r="ES33" s="551"/>
      <c r="ET33" s="551"/>
      <c r="EU33" s="551"/>
      <c r="EV33" s="551"/>
      <c r="EW33" s="551"/>
      <c r="EX33" s="551"/>
      <c r="EY33" s="551"/>
      <c r="EZ33" s="551"/>
      <c r="FA33" s="551"/>
      <c r="FB33" s="551"/>
      <c r="FC33" s="551"/>
      <c r="FD33" s="551"/>
      <c r="FE33" s="551"/>
      <c r="FF33" s="551"/>
      <c r="FG33" s="551"/>
      <c r="FH33" s="551"/>
      <c r="FI33" s="551"/>
      <c r="FJ33" s="551"/>
      <c r="FK33" s="551"/>
      <c r="FL33" s="551"/>
      <c r="FM33" s="551"/>
      <c r="FN33" s="551"/>
      <c r="FO33" s="551"/>
      <c r="FP33" s="551"/>
      <c r="FQ33" s="551"/>
      <c r="FR33" s="551"/>
      <c r="FS33" s="551"/>
      <c r="FT33" s="551"/>
      <c r="FU33" s="551"/>
      <c r="FV33" s="551"/>
      <c r="FW33" s="551"/>
      <c r="FX33" s="551"/>
      <c r="FY33" s="551"/>
      <c r="FZ33" s="551"/>
      <c r="GA33" s="551"/>
      <c r="GB33" s="551"/>
      <c r="GC33" s="551"/>
      <c r="GD33" s="551"/>
      <c r="GE33" s="551"/>
      <c r="GF33" s="551"/>
      <c r="GG33" s="551"/>
      <c r="GH33" s="551"/>
      <c r="GI33" s="551"/>
      <c r="GJ33" s="551"/>
      <c r="GK33" s="551"/>
      <c r="GL33" s="551"/>
      <c r="GM33" s="551"/>
      <c r="GN33" s="551"/>
      <c r="GO33" s="551"/>
      <c r="GP33" s="551"/>
      <c r="GQ33" s="551"/>
      <c r="GR33" s="551"/>
      <c r="GS33" s="551"/>
      <c r="GT33" s="551"/>
      <c r="GU33" s="551"/>
      <c r="GV33" s="551"/>
      <c r="GW33" s="551"/>
      <c r="GX33" s="551"/>
      <c r="GY33" s="551"/>
      <c r="GZ33" s="551"/>
      <c r="HA33" s="551"/>
      <c r="HB33" s="551"/>
      <c r="HC33" s="551"/>
      <c r="HD33" s="551"/>
      <c r="HE33" s="551"/>
      <c r="HF33" s="551"/>
      <c r="HG33" s="551"/>
      <c r="HH33" s="551"/>
      <c r="HI33" s="551"/>
      <c r="HJ33" s="551"/>
      <c r="HK33" s="551"/>
      <c r="HL33" s="551"/>
      <c r="HM33" s="551"/>
      <c r="HN33" s="551"/>
      <c r="HO33" s="551"/>
      <c r="HP33" s="551"/>
      <c r="HQ33" s="551"/>
      <c r="HR33" s="551"/>
      <c r="HS33" s="551"/>
      <c r="HT33" s="551"/>
      <c r="HU33" s="551"/>
      <c r="HV33" s="551"/>
      <c r="HW33" s="551"/>
      <c r="HX33" s="551"/>
      <c r="HY33" s="551"/>
      <c r="HZ33" s="551"/>
      <c r="IA33" s="551"/>
      <c r="IB33" s="551"/>
      <c r="IC33" s="551"/>
      <c r="ID33" s="551"/>
      <c r="IE33" s="551"/>
      <c r="IF33" s="551"/>
      <c r="IG33" s="551"/>
      <c r="IH33" s="551"/>
      <c r="II33" s="551"/>
      <c r="IJ33" s="551"/>
      <c r="IK33" s="551"/>
      <c r="IL33" s="551"/>
      <c r="IM33" s="551"/>
      <c r="IN33" s="551"/>
      <c r="IO33" s="551"/>
      <c r="IP33" s="551"/>
      <c r="IQ33" s="551"/>
      <c r="IR33" s="551"/>
      <c r="IS33" s="551"/>
      <c r="IT33" s="551"/>
      <c r="IU33" s="551"/>
      <c r="IV33" s="551"/>
      <c r="IW33" s="551"/>
      <c r="IX33" s="551"/>
      <c r="IY33" s="551"/>
      <c r="IZ33" s="551"/>
      <c r="JA33" s="551"/>
      <c r="JB33" s="551"/>
      <c r="JC33" s="551"/>
      <c r="JD33" s="551"/>
      <c r="JE33" s="551"/>
      <c r="JF33" s="551"/>
      <c r="JG33" s="551"/>
      <c r="JH33" s="551"/>
      <c r="JI33" s="551"/>
      <c r="JJ33" s="551"/>
      <c r="JK33" s="551"/>
      <c r="JL33" s="551"/>
      <c r="JM33" s="551"/>
      <c r="JN33" s="551"/>
      <c r="JO33" s="551"/>
      <c r="JP33" s="551"/>
      <c r="JQ33" s="551"/>
      <c r="JR33" s="551"/>
      <c r="JS33" s="551"/>
      <c r="JT33" s="551"/>
      <c r="JU33" s="551"/>
      <c r="JV33" s="551"/>
      <c r="JW33" s="551"/>
      <c r="JX33" s="551"/>
      <c r="JY33" s="551"/>
      <c r="JZ33" s="551"/>
      <c r="KA33" s="551"/>
      <c r="KB33" s="551"/>
      <c r="KC33" s="551"/>
      <c r="KD33" s="551"/>
      <c r="KE33" s="551"/>
      <c r="KF33" s="551"/>
      <c r="KG33" s="551"/>
      <c r="KH33" s="551"/>
      <c r="KI33" s="551"/>
      <c r="KJ33" s="551"/>
      <c r="KK33" s="551"/>
      <c r="KL33" s="551"/>
      <c r="KM33" s="551"/>
      <c r="KN33" s="551"/>
      <c r="KO33" s="551"/>
      <c r="KP33" s="551"/>
      <c r="KQ33" s="551"/>
      <c r="KR33" s="551"/>
      <c r="KS33" s="551"/>
      <c r="KT33" s="551"/>
      <c r="KU33" s="551"/>
      <c r="KV33" s="551"/>
      <c r="KW33" s="551"/>
      <c r="KX33" s="551"/>
      <c r="KY33" s="551"/>
      <c r="KZ33" s="551"/>
      <c r="LA33" s="551"/>
      <c r="LB33" s="551"/>
      <c r="LC33" s="551"/>
      <c r="LD33" s="551"/>
      <c r="LE33" s="551"/>
      <c r="LF33" s="551"/>
      <c r="LG33" s="551"/>
      <c r="LH33" s="551"/>
      <c r="LI33" s="551"/>
      <c r="LJ33" s="551"/>
      <c r="LK33" s="551"/>
      <c r="LL33" s="551"/>
      <c r="LM33" s="551"/>
      <c r="LN33" s="551"/>
      <c r="LO33" s="551"/>
      <c r="LP33" s="551"/>
      <c r="LQ33" s="551"/>
      <c r="LR33" s="551"/>
      <c r="LS33" s="551"/>
      <c r="LT33" s="551"/>
      <c r="LU33" s="551"/>
      <c r="LV33" s="551"/>
      <c r="LW33" s="551"/>
      <c r="LX33" s="551"/>
      <c r="LY33" s="551"/>
      <c r="LZ33" s="551"/>
      <c r="MA33" s="551"/>
      <c r="MB33" s="551"/>
      <c r="MC33" s="551"/>
      <c r="MD33" s="551"/>
      <c r="ME33" s="551"/>
      <c r="MF33" s="551"/>
      <c r="MG33" s="551"/>
      <c r="MH33" s="551"/>
      <c r="MI33" s="551"/>
      <c r="MJ33" s="551"/>
      <c r="MK33" s="551"/>
      <c r="ML33" s="551"/>
      <c r="MM33" s="551"/>
      <c r="MN33" s="551"/>
      <c r="MO33" s="551"/>
      <c r="MP33" s="551"/>
      <c r="MQ33" s="551"/>
      <c r="MR33" s="551"/>
      <c r="MS33" s="551"/>
      <c r="MT33" s="551"/>
      <c r="MU33" s="551"/>
      <c r="MV33" s="551"/>
      <c r="MW33" s="551"/>
      <c r="MX33" s="551"/>
      <c r="MY33" s="551"/>
      <c r="MZ33" s="551"/>
      <c r="NA33" s="551"/>
      <c r="NB33" s="551"/>
      <c r="NC33" s="551"/>
      <c r="ND33" s="551"/>
      <c r="NE33" s="551"/>
      <c r="NF33" s="551"/>
      <c r="NG33" s="551"/>
      <c r="NH33" s="551"/>
      <c r="NI33" s="551"/>
      <c r="NJ33" s="551"/>
      <c r="NK33" s="551"/>
      <c r="NL33" s="551"/>
      <c r="NM33" s="551"/>
      <c r="NN33" s="551"/>
      <c r="NO33" s="551"/>
      <c r="NP33" s="551"/>
      <c r="NQ33" s="551"/>
      <c r="NR33" s="551"/>
      <c r="NS33" s="551"/>
      <c r="NT33" s="551"/>
      <c r="NU33" s="551"/>
      <c r="NV33" s="551"/>
      <c r="NW33" s="551"/>
      <c r="NX33" s="551"/>
      <c r="NY33" s="551"/>
      <c r="NZ33" s="551"/>
      <c r="OA33" s="551"/>
      <c r="OB33" s="551"/>
      <c r="OC33" s="551"/>
      <c r="OD33" s="551"/>
      <c r="OE33" s="551"/>
      <c r="OF33" s="551"/>
      <c r="OG33" s="551"/>
      <c r="OH33" s="551"/>
      <c r="OI33" s="551"/>
      <c r="OJ33" s="551"/>
      <c r="OK33" s="551"/>
      <c r="OL33" s="551"/>
      <c r="OM33" s="551"/>
      <c r="ON33" s="551"/>
      <c r="OO33" s="551"/>
      <c r="OP33" s="551"/>
      <c r="OQ33" s="551"/>
      <c r="OR33" s="551"/>
      <c r="OS33" s="551"/>
      <c r="OT33" s="551"/>
      <c r="OU33" s="551"/>
      <c r="OV33" s="551"/>
      <c r="OW33" s="551"/>
      <c r="OX33" s="551"/>
      <c r="OY33" s="551"/>
      <c r="OZ33" s="551"/>
      <c r="PA33" s="551"/>
      <c r="PB33" s="551"/>
      <c r="PC33" s="551"/>
      <c r="PD33" s="551"/>
      <c r="PE33" s="551"/>
      <c r="PF33" s="551"/>
      <c r="PG33" s="551"/>
      <c r="PH33" s="551"/>
      <c r="PI33" s="551"/>
      <c r="PJ33" s="551"/>
      <c r="PK33" s="551"/>
      <c r="PL33" s="551"/>
      <c r="PM33" s="551"/>
      <c r="PN33" s="551"/>
      <c r="PO33" s="551"/>
      <c r="PP33" s="551"/>
      <c r="PQ33" s="551"/>
      <c r="PR33" s="551"/>
      <c r="PS33" s="551"/>
      <c r="PT33" s="551"/>
      <c r="PU33" s="551"/>
      <c r="PV33" s="551"/>
      <c r="PW33" s="551"/>
      <c r="PX33" s="551"/>
      <c r="PY33" s="551"/>
      <c r="PZ33" s="551"/>
      <c r="QA33" s="551"/>
      <c r="QB33" s="551"/>
      <c r="QC33" s="551"/>
      <c r="QD33" s="551"/>
      <c r="QE33" s="551"/>
      <c r="QF33" s="551"/>
      <c r="QG33" s="551"/>
      <c r="QH33" s="551"/>
      <c r="QI33" s="551"/>
      <c r="QJ33" s="551"/>
      <c r="QK33" s="551"/>
      <c r="QL33" s="551"/>
      <c r="QM33" s="551"/>
      <c r="QN33" s="551"/>
      <c r="QO33" s="551"/>
      <c r="QP33" s="551"/>
      <c r="QQ33" s="551"/>
      <c r="QR33" s="551"/>
      <c r="QS33" s="551"/>
      <c r="QT33" s="551"/>
      <c r="QU33" s="551"/>
      <c r="QV33" s="551"/>
      <c r="QW33" s="551"/>
      <c r="QX33" s="551"/>
      <c r="QY33" s="551"/>
      <c r="QZ33" s="551"/>
      <c r="RA33" s="551"/>
      <c r="RB33" s="551"/>
      <c r="RC33" s="551"/>
      <c r="RD33" s="551"/>
      <c r="RE33" s="551"/>
      <c r="RF33" s="551"/>
      <c r="RG33" s="551"/>
      <c r="RH33" s="551"/>
      <c r="RI33" s="551"/>
      <c r="RJ33" s="551"/>
      <c r="RK33" s="551"/>
      <c r="RL33" s="551"/>
      <c r="RM33" s="551"/>
      <c r="RN33" s="551"/>
      <c r="RO33" s="551"/>
      <c r="RP33" s="551"/>
      <c r="RQ33" s="551"/>
      <c r="RR33" s="551"/>
      <c r="RS33" s="551"/>
      <c r="RT33" s="551"/>
      <c r="RU33" s="551"/>
      <c r="RV33" s="551"/>
      <c r="RW33" s="551"/>
      <c r="RX33" s="551"/>
      <c r="RY33" s="551"/>
      <c r="RZ33" s="551"/>
      <c r="SA33" s="551"/>
      <c r="SB33" s="551"/>
      <c r="SC33" s="551"/>
      <c r="SD33" s="551"/>
      <c r="SE33" s="551"/>
      <c r="SF33" s="551"/>
      <c r="SG33" s="551"/>
      <c r="SH33" s="551"/>
      <c r="SI33" s="551"/>
      <c r="SJ33" s="551"/>
      <c r="SK33" s="551"/>
      <c r="SL33" s="551"/>
      <c r="SM33" s="551"/>
      <c r="SN33" s="551"/>
      <c r="SO33" s="551"/>
      <c r="SP33" s="551"/>
      <c r="SQ33" s="551"/>
      <c r="SR33" s="551"/>
      <c r="SS33" s="551"/>
      <c r="ST33" s="551"/>
      <c r="SU33" s="551"/>
      <c r="SV33" s="551"/>
      <c r="SW33" s="551"/>
      <c r="SX33" s="551"/>
      <c r="SY33" s="551"/>
      <c r="SZ33" s="551"/>
      <c r="TA33" s="551"/>
      <c r="TB33" s="551"/>
      <c r="TC33" s="551"/>
      <c r="TD33" s="551"/>
      <c r="TE33" s="551"/>
      <c r="TF33" s="551"/>
      <c r="TG33" s="551"/>
      <c r="TH33" s="551"/>
      <c r="TI33" s="551"/>
      <c r="TJ33" s="551"/>
      <c r="TK33" s="551"/>
      <c r="TL33" s="551"/>
      <c r="TM33" s="551"/>
      <c r="TN33" s="551"/>
      <c r="TO33" s="551"/>
      <c r="TP33" s="551"/>
      <c r="TQ33" s="551"/>
      <c r="TR33" s="551"/>
      <c r="TS33" s="551"/>
      <c r="TT33" s="551"/>
      <c r="TU33" s="551"/>
      <c r="TV33" s="551"/>
      <c r="TW33" s="551"/>
      <c r="TX33" s="551"/>
      <c r="TY33" s="551"/>
      <c r="TZ33" s="551"/>
      <c r="UA33" s="551"/>
      <c r="UB33" s="551"/>
      <c r="UC33" s="551"/>
      <c r="UD33" s="551"/>
      <c r="UE33" s="551"/>
      <c r="UF33" s="551"/>
      <c r="UG33" s="551"/>
      <c r="UH33" s="551"/>
      <c r="UI33" s="551"/>
      <c r="UJ33" s="551"/>
      <c r="UK33" s="551"/>
      <c r="UL33" s="551"/>
      <c r="UM33" s="551"/>
      <c r="UN33" s="551"/>
      <c r="UO33" s="551"/>
      <c r="UP33" s="551"/>
      <c r="UQ33" s="551"/>
      <c r="UR33" s="551"/>
      <c r="US33" s="551"/>
      <c r="UT33" s="551"/>
      <c r="UU33" s="551"/>
      <c r="UV33" s="551"/>
      <c r="UW33" s="551"/>
      <c r="UX33" s="551"/>
      <c r="UY33" s="551"/>
      <c r="UZ33" s="551"/>
      <c r="VA33" s="551"/>
      <c r="VB33" s="551"/>
      <c r="VC33" s="551"/>
      <c r="VD33" s="551"/>
      <c r="VE33" s="551"/>
      <c r="VF33" s="551"/>
      <c r="VG33" s="551"/>
      <c r="VH33" s="551"/>
      <c r="VI33" s="551"/>
      <c r="VJ33" s="551"/>
      <c r="VK33" s="551"/>
      <c r="VL33" s="551"/>
      <c r="VM33" s="551"/>
      <c r="VN33" s="551"/>
      <c r="VO33" s="551"/>
      <c r="VP33" s="551"/>
      <c r="VQ33" s="551"/>
      <c r="VR33" s="551"/>
      <c r="VS33" s="551"/>
      <c r="VT33" s="551"/>
      <c r="VU33" s="551"/>
      <c r="VV33" s="551"/>
      <c r="VW33" s="551"/>
      <c r="VX33" s="551"/>
      <c r="VY33" s="551"/>
      <c r="VZ33" s="551"/>
      <c r="WA33" s="551"/>
      <c r="WB33" s="551"/>
      <c r="WC33" s="551"/>
      <c r="WD33" s="551"/>
      <c r="WE33" s="551"/>
      <c r="WF33" s="551"/>
      <c r="WG33" s="551"/>
      <c r="WH33" s="551"/>
      <c r="WI33" s="551"/>
      <c r="WJ33" s="551"/>
      <c r="WK33" s="551"/>
      <c r="WL33" s="551"/>
      <c r="WM33" s="551"/>
      <c r="WN33" s="551"/>
      <c r="WO33" s="551"/>
      <c r="WP33" s="551"/>
      <c r="WQ33" s="551"/>
      <c r="WR33" s="551"/>
      <c r="WS33" s="551"/>
      <c r="WT33" s="551"/>
      <c r="WU33" s="551"/>
      <c r="WV33" s="551"/>
      <c r="WW33" s="551"/>
      <c r="WX33" s="551"/>
      <c r="WY33" s="551"/>
      <c r="WZ33" s="551"/>
      <c r="XA33" s="551"/>
      <c r="XB33" s="551"/>
      <c r="XC33" s="551"/>
      <c r="XD33" s="551"/>
      <c r="XE33" s="551"/>
      <c r="XF33" s="551"/>
      <c r="XG33" s="551"/>
      <c r="XH33" s="551"/>
      <c r="XI33" s="551"/>
      <c r="XJ33" s="551"/>
      <c r="XK33" s="551"/>
      <c r="XL33" s="551"/>
      <c r="XM33" s="551"/>
      <c r="XN33" s="551"/>
      <c r="XO33" s="551"/>
      <c r="XP33" s="551"/>
      <c r="XQ33" s="551"/>
      <c r="XR33" s="551"/>
      <c r="XS33" s="551"/>
      <c r="XT33" s="551"/>
      <c r="XU33" s="551"/>
      <c r="XV33" s="551"/>
      <c r="XW33" s="551"/>
      <c r="XX33" s="551"/>
      <c r="XY33" s="551"/>
      <c r="XZ33" s="551"/>
      <c r="YA33" s="551"/>
      <c r="YB33" s="551"/>
      <c r="YC33" s="551"/>
      <c r="YD33" s="551"/>
      <c r="YE33" s="551"/>
      <c r="YF33" s="551"/>
      <c r="YG33" s="551"/>
      <c r="YH33" s="551"/>
      <c r="YI33" s="551"/>
      <c r="YJ33" s="551"/>
      <c r="YK33" s="551"/>
      <c r="YL33" s="551"/>
      <c r="YM33" s="551"/>
      <c r="YN33" s="551"/>
      <c r="YO33" s="551"/>
      <c r="YP33" s="551"/>
      <c r="YQ33" s="551"/>
      <c r="YR33" s="551"/>
      <c r="YS33" s="551"/>
      <c r="YT33" s="551"/>
      <c r="YU33" s="551"/>
      <c r="YV33" s="551"/>
      <c r="YW33" s="551"/>
      <c r="YX33" s="551"/>
      <c r="YY33" s="551"/>
      <c r="YZ33" s="551"/>
      <c r="ZA33" s="551"/>
      <c r="ZB33" s="551"/>
      <c r="ZC33" s="551"/>
      <c r="ZD33" s="551"/>
      <c r="ZE33" s="551"/>
      <c r="ZF33" s="551"/>
      <c r="ZG33" s="551"/>
      <c r="ZH33" s="551"/>
      <c r="ZI33" s="551"/>
      <c r="ZJ33" s="551"/>
      <c r="ZK33" s="551"/>
      <c r="ZL33" s="551"/>
      <c r="ZM33" s="551"/>
      <c r="ZN33" s="551"/>
      <c r="ZO33" s="551"/>
      <c r="ZP33" s="551"/>
      <c r="ZQ33" s="551"/>
      <c r="ZR33" s="551"/>
      <c r="ZS33" s="551"/>
      <c r="ZT33" s="551"/>
      <c r="ZU33" s="551"/>
      <c r="ZV33" s="551"/>
      <c r="ZW33" s="551"/>
      <c r="ZX33" s="551"/>
      <c r="ZY33" s="551"/>
      <c r="ZZ33" s="551"/>
      <c r="AAA33" s="551"/>
      <c r="AAB33" s="551"/>
      <c r="AAC33" s="551"/>
      <c r="AAD33" s="551"/>
      <c r="AAE33" s="551"/>
      <c r="AAF33" s="551"/>
      <c r="AAG33" s="551"/>
      <c r="AAH33" s="551"/>
      <c r="AAI33" s="551"/>
      <c r="AAJ33" s="551"/>
      <c r="AAK33" s="551"/>
      <c r="AAL33" s="551"/>
      <c r="AAM33" s="551"/>
      <c r="AAN33" s="551"/>
      <c r="AAO33" s="551"/>
      <c r="AAP33" s="551"/>
      <c r="AAQ33" s="551"/>
      <c r="AAR33" s="551"/>
      <c r="AAS33" s="551"/>
      <c r="AAT33" s="551"/>
      <c r="AAU33" s="551"/>
      <c r="AAV33" s="551"/>
      <c r="AAW33" s="551"/>
      <c r="AAX33" s="551"/>
      <c r="AAY33" s="551"/>
      <c r="AAZ33" s="551"/>
      <c r="ABA33" s="551"/>
      <c r="ABB33" s="551"/>
      <c r="ABC33" s="551"/>
      <c r="ABD33" s="551"/>
      <c r="ABE33" s="551"/>
      <c r="ABF33" s="551"/>
      <c r="ABG33" s="551"/>
      <c r="ABH33" s="551"/>
      <c r="ABI33" s="551"/>
      <c r="ABJ33" s="551"/>
      <c r="ABK33" s="551"/>
      <c r="ABL33" s="551"/>
      <c r="ABM33" s="551"/>
      <c r="ABN33" s="551"/>
      <c r="ABO33" s="551"/>
      <c r="ABP33" s="551"/>
      <c r="ABQ33" s="551"/>
      <c r="ABR33" s="551"/>
      <c r="ABS33" s="551"/>
      <c r="ABT33" s="551"/>
      <c r="ABU33" s="551"/>
      <c r="ABV33" s="551"/>
      <c r="ABW33" s="551"/>
      <c r="ABX33" s="551"/>
      <c r="ABY33" s="551"/>
      <c r="ABZ33" s="551"/>
      <c r="ACA33" s="551"/>
      <c r="ACB33" s="551"/>
      <c r="ACC33" s="551"/>
      <c r="ACD33" s="551"/>
      <c r="ACE33" s="551"/>
      <c r="ACF33" s="551"/>
      <c r="ACG33" s="551"/>
      <c r="ACH33" s="551"/>
      <c r="ACI33" s="551"/>
      <c r="ACJ33" s="551"/>
      <c r="ACK33" s="551"/>
      <c r="ACL33" s="551"/>
      <c r="ACM33" s="551"/>
      <c r="ACN33" s="551"/>
      <c r="ACO33" s="551"/>
      <c r="ACP33" s="551"/>
      <c r="ACQ33" s="551"/>
      <c r="ACR33" s="551"/>
      <c r="ACS33" s="551"/>
      <c r="ACT33" s="551"/>
      <c r="ACU33" s="551"/>
      <c r="ACV33" s="551"/>
      <c r="ACW33" s="551"/>
      <c r="ACX33" s="551"/>
      <c r="ACY33" s="551"/>
      <c r="ACZ33" s="551"/>
      <c r="ADA33" s="551"/>
      <c r="ADB33" s="551"/>
      <c r="ADC33" s="551"/>
      <c r="ADD33" s="551"/>
      <c r="ADE33" s="551"/>
      <c r="ADF33" s="551"/>
      <c r="ADG33" s="551"/>
      <c r="ADH33" s="551"/>
      <c r="ADI33" s="551"/>
      <c r="ADJ33" s="551"/>
      <c r="ADK33" s="551"/>
      <c r="ADL33" s="551"/>
      <c r="ADM33" s="551"/>
      <c r="ADN33" s="551"/>
      <c r="ADO33" s="551"/>
      <c r="ADP33" s="551"/>
      <c r="ADQ33" s="551"/>
      <c r="ADR33" s="551"/>
      <c r="ADS33" s="551"/>
      <c r="ADT33" s="551"/>
      <c r="ADU33" s="551"/>
      <c r="ADV33" s="551"/>
      <c r="ADW33" s="551"/>
      <c r="ADX33" s="551"/>
      <c r="ADY33" s="551"/>
      <c r="ADZ33" s="551"/>
      <c r="AEA33" s="551"/>
      <c r="AEB33" s="551"/>
      <c r="AEC33" s="551"/>
      <c r="AED33" s="551"/>
      <c r="AEE33" s="551"/>
      <c r="AEF33" s="551"/>
      <c r="AEG33" s="551"/>
      <c r="AEH33" s="551"/>
      <c r="AEI33" s="551"/>
      <c r="AEJ33" s="551"/>
      <c r="AEK33" s="551"/>
      <c r="AEL33" s="551"/>
      <c r="AEM33" s="551"/>
      <c r="AEN33" s="551"/>
      <c r="AEO33" s="551"/>
      <c r="AEP33" s="551"/>
      <c r="AEQ33" s="551"/>
      <c r="AER33" s="551"/>
      <c r="AES33" s="551"/>
      <c r="AET33" s="551"/>
      <c r="AEU33" s="551"/>
      <c r="AEV33" s="551"/>
      <c r="AEW33" s="551"/>
      <c r="AEX33" s="551"/>
      <c r="AEY33" s="551"/>
      <c r="AEZ33" s="551"/>
      <c r="AFA33" s="551"/>
      <c r="AFB33" s="551"/>
      <c r="AFC33" s="551"/>
      <c r="AFD33" s="551"/>
      <c r="AFE33" s="551"/>
      <c r="AFF33" s="551"/>
      <c r="AFG33" s="551"/>
      <c r="AFH33" s="551"/>
      <c r="AFI33" s="551"/>
      <c r="AFJ33" s="551"/>
      <c r="AFK33" s="551"/>
      <c r="AFL33" s="551"/>
      <c r="AFM33" s="551"/>
      <c r="AFN33" s="551"/>
      <c r="AFO33" s="551"/>
      <c r="AFP33" s="551"/>
      <c r="AFQ33" s="551"/>
      <c r="AFR33" s="551"/>
      <c r="AFS33" s="551"/>
      <c r="AFT33" s="551"/>
      <c r="AFU33" s="551"/>
      <c r="AFV33" s="551"/>
      <c r="AFW33" s="551"/>
      <c r="AFX33" s="551"/>
      <c r="AFY33" s="551"/>
      <c r="AFZ33" s="551"/>
      <c r="AGA33" s="551"/>
      <c r="AGB33" s="551"/>
      <c r="AGC33" s="551"/>
      <c r="AGD33" s="551"/>
      <c r="AGE33" s="551"/>
      <c r="AGF33" s="551"/>
      <c r="AGG33" s="551"/>
      <c r="AGH33" s="551"/>
      <c r="AGI33" s="551"/>
      <c r="AGJ33" s="551"/>
      <c r="AGK33" s="551"/>
      <c r="AGL33" s="551"/>
      <c r="AGM33" s="551"/>
      <c r="AGN33" s="551"/>
      <c r="AGO33" s="551"/>
      <c r="AGP33" s="551"/>
      <c r="AGQ33" s="551"/>
      <c r="AGR33" s="551"/>
      <c r="AGS33" s="551"/>
      <c r="AGT33" s="551"/>
      <c r="AGU33" s="551"/>
      <c r="AGV33" s="551"/>
      <c r="AGW33" s="551"/>
      <c r="AGX33" s="551"/>
      <c r="AGY33" s="551"/>
      <c r="AGZ33" s="551"/>
      <c r="AHA33" s="551"/>
      <c r="AHB33" s="551"/>
      <c r="AHC33" s="551"/>
      <c r="AHD33" s="551"/>
      <c r="AHE33" s="551"/>
      <c r="AHF33" s="551"/>
      <c r="AHG33" s="551"/>
      <c r="AHH33" s="551"/>
      <c r="AHI33" s="551"/>
      <c r="AHJ33" s="551"/>
      <c r="AHK33" s="551"/>
      <c r="AHL33" s="551"/>
      <c r="AHM33" s="551"/>
      <c r="AHN33" s="551"/>
      <c r="AHO33" s="551"/>
      <c r="AHP33" s="551"/>
      <c r="AHQ33" s="551"/>
      <c r="AHR33" s="551"/>
      <c r="AHS33" s="551"/>
      <c r="AHT33" s="551"/>
      <c r="AHU33" s="551"/>
      <c r="AHV33" s="551"/>
      <c r="AHW33" s="551"/>
      <c r="AHX33" s="551"/>
      <c r="AHY33" s="551"/>
      <c r="AHZ33" s="551"/>
      <c r="AIA33" s="551"/>
      <c r="AIB33" s="551"/>
      <c r="AIC33" s="551"/>
      <c r="AID33" s="551"/>
      <c r="AIE33" s="551"/>
      <c r="AIF33" s="551"/>
      <c r="AIG33" s="551"/>
      <c r="AIH33" s="551"/>
      <c r="AII33" s="551"/>
      <c r="AIJ33" s="551"/>
      <c r="AIK33" s="551"/>
      <c r="AIL33" s="551"/>
      <c r="AIM33" s="551"/>
      <c r="AIN33" s="551"/>
      <c r="AIO33" s="551"/>
      <c r="AIP33" s="551"/>
      <c r="AIQ33" s="551"/>
      <c r="AIR33" s="551"/>
      <c r="AIS33" s="551"/>
      <c r="AIT33" s="551"/>
      <c r="AIU33" s="551"/>
      <c r="AIV33" s="551"/>
      <c r="AIW33" s="551"/>
      <c r="AIX33" s="551"/>
      <c r="AIY33" s="551"/>
      <c r="AIZ33" s="551"/>
      <c r="AJA33" s="551"/>
      <c r="AJB33" s="551"/>
      <c r="AJC33" s="551"/>
      <c r="AJD33" s="551"/>
      <c r="AJE33" s="551"/>
      <c r="AJF33" s="551"/>
      <c r="AJG33" s="551"/>
      <c r="AJH33" s="551"/>
      <c r="AJI33" s="551"/>
      <c r="AJJ33" s="551"/>
      <c r="AJK33" s="551"/>
      <c r="AJL33" s="551"/>
      <c r="AJM33" s="551"/>
      <c r="AJN33" s="551"/>
      <c r="AJO33" s="551"/>
      <c r="AJP33" s="551"/>
      <c r="AJQ33" s="551"/>
      <c r="AJR33" s="551"/>
      <c r="AJS33" s="551"/>
      <c r="AJT33" s="551"/>
      <c r="AJU33" s="551"/>
      <c r="AJV33" s="551"/>
      <c r="AJW33" s="551"/>
      <c r="AJX33" s="551"/>
      <c r="AJY33" s="551"/>
      <c r="AJZ33" s="551"/>
      <c r="AKA33" s="551"/>
      <c r="AKB33" s="551"/>
      <c r="AKC33" s="551"/>
      <c r="AKD33" s="551"/>
      <c r="AKE33" s="551"/>
      <c r="AKF33" s="551"/>
      <c r="AKG33" s="551"/>
      <c r="AKH33" s="551"/>
      <c r="AKI33" s="551"/>
      <c r="AKJ33" s="551"/>
      <c r="AKK33" s="551"/>
      <c r="AKL33" s="551"/>
      <c r="AKM33" s="551"/>
      <c r="AKN33" s="551"/>
      <c r="AKO33" s="551"/>
      <c r="AKP33" s="551"/>
      <c r="AKQ33" s="551"/>
      <c r="AKR33" s="551"/>
      <c r="AKS33" s="551"/>
      <c r="AKT33" s="551"/>
      <c r="AKU33" s="551"/>
      <c r="AKV33" s="551"/>
      <c r="AKW33" s="551"/>
      <c r="AKX33" s="551"/>
      <c r="AKY33" s="551"/>
      <c r="AKZ33" s="551"/>
      <c r="ALA33" s="551"/>
      <c r="ALB33" s="551"/>
      <c r="ALC33" s="551"/>
      <c r="ALD33" s="551"/>
      <c r="ALE33" s="551"/>
      <c r="ALF33" s="551"/>
      <c r="ALG33" s="551"/>
      <c r="ALH33" s="551"/>
      <c r="ALI33" s="551"/>
      <c r="ALJ33" s="551"/>
      <c r="ALK33" s="551"/>
      <c r="ALL33" s="551"/>
      <c r="ALM33" s="551"/>
      <c r="ALN33" s="551"/>
      <c r="ALO33" s="551"/>
      <c r="ALP33" s="551"/>
      <c r="ALQ33" s="551"/>
      <c r="ALR33" s="551"/>
      <c r="ALS33" s="551"/>
      <c r="ALT33" s="551"/>
      <c r="ALU33" s="551"/>
      <c r="ALV33" s="551"/>
      <c r="ALW33" s="551"/>
      <c r="ALX33" s="551"/>
      <c r="ALY33" s="551"/>
      <c r="ALZ33" s="551"/>
      <c r="AMA33" s="551"/>
      <c r="AMB33" s="551"/>
      <c r="AMC33" s="551"/>
      <c r="AMD33" s="551"/>
      <c r="AME33" s="551"/>
      <c r="AMF33" s="551"/>
      <c r="AMG33" s="551"/>
      <c r="AMH33" s="551"/>
      <c r="AMI33" s="551"/>
      <c r="AMJ33" s="551"/>
      <c r="AMK33" s="551"/>
      <c r="AML33" s="551"/>
      <c r="AMM33" s="551"/>
      <c r="AMN33" s="551"/>
      <c r="AMO33" s="551"/>
      <c r="AMP33" s="551"/>
      <c r="AMQ33" s="551"/>
      <c r="AMR33" s="551"/>
      <c r="AMS33" s="551"/>
      <c r="AMT33" s="551"/>
      <c r="AMU33" s="551"/>
      <c r="AMV33" s="551"/>
      <c r="AMW33" s="551"/>
      <c r="AMX33" s="551"/>
      <c r="AMY33" s="551"/>
      <c r="AMZ33" s="551"/>
      <c r="ANA33" s="551"/>
      <c r="ANB33" s="551"/>
      <c r="ANC33" s="551"/>
      <c r="AND33" s="551"/>
      <c r="ANE33" s="551"/>
      <c r="ANF33" s="551"/>
      <c r="ANG33" s="551"/>
      <c r="ANH33" s="551"/>
      <c r="ANI33" s="551"/>
      <c r="ANJ33" s="551"/>
      <c r="ANK33" s="551"/>
      <c r="ANL33" s="551"/>
      <c r="ANM33" s="551"/>
      <c r="ANN33" s="551"/>
      <c r="ANO33" s="551"/>
      <c r="ANP33" s="551"/>
      <c r="ANQ33" s="551"/>
      <c r="ANR33" s="551"/>
      <c r="ANS33" s="551"/>
      <c r="ANT33" s="551"/>
      <c r="ANU33" s="551"/>
      <c r="ANV33" s="551"/>
      <c r="ANW33" s="551"/>
      <c r="ANX33" s="551"/>
      <c r="ANY33" s="551"/>
      <c r="ANZ33" s="551"/>
      <c r="AOA33" s="551"/>
      <c r="AOB33" s="551"/>
      <c r="AOC33" s="551"/>
      <c r="AOD33" s="551"/>
      <c r="AOE33" s="551"/>
      <c r="AOF33" s="551"/>
      <c r="AOG33" s="551"/>
      <c r="AOH33" s="551"/>
      <c r="AOI33" s="551"/>
      <c r="AOJ33" s="551"/>
      <c r="AOK33" s="551"/>
      <c r="AOL33" s="551"/>
      <c r="AOM33" s="551"/>
      <c r="AON33" s="551"/>
      <c r="AOO33" s="551"/>
      <c r="AOP33" s="551"/>
      <c r="AOQ33" s="551"/>
      <c r="AOR33" s="551"/>
      <c r="AOS33" s="551"/>
      <c r="AOT33" s="551"/>
      <c r="AOU33" s="551"/>
      <c r="AOV33" s="551"/>
      <c r="AOW33" s="551"/>
      <c r="AOX33" s="551"/>
      <c r="AOY33" s="551"/>
      <c r="AOZ33" s="551"/>
      <c r="APA33" s="551"/>
      <c r="APB33" s="551"/>
      <c r="APC33" s="551"/>
      <c r="APD33" s="551"/>
      <c r="APE33" s="551"/>
      <c r="APF33" s="551"/>
      <c r="APG33" s="551"/>
      <c r="APH33" s="551"/>
      <c r="API33" s="551"/>
      <c r="APJ33" s="551"/>
      <c r="APK33" s="551"/>
      <c r="APL33" s="551"/>
      <c r="APM33" s="551"/>
      <c r="APN33" s="551"/>
      <c r="APO33" s="551"/>
      <c r="APP33" s="551"/>
      <c r="APQ33" s="551"/>
      <c r="APR33" s="551"/>
      <c r="APS33" s="551"/>
      <c r="APT33" s="551"/>
      <c r="APU33" s="551"/>
      <c r="APV33" s="551"/>
      <c r="APW33" s="551"/>
      <c r="APX33" s="551"/>
      <c r="APY33" s="551"/>
      <c r="APZ33" s="551"/>
      <c r="AQA33" s="551"/>
      <c r="AQB33" s="551"/>
      <c r="AQC33" s="551"/>
      <c r="AQD33" s="551"/>
      <c r="AQE33" s="551"/>
      <c r="AQF33" s="551"/>
      <c r="AQG33" s="551"/>
      <c r="AQH33" s="551"/>
      <c r="AQI33" s="551"/>
      <c r="AQJ33" s="551"/>
      <c r="AQK33" s="551"/>
      <c r="AQL33" s="551"/>
      <c r="AQM33" s="551"/>
      <c r="AQN33" s="551"/>
      <c r="AQO33" s="551"/>
      <c r="AQP33" s="551"/>
      <c r="AQQ33" s="551"/>
      <c r="AQR33" s="551"/>
      <c r="AQS33" s="551"/>
      <c r="AQT33" s="551"/>
      <c r="AQU33" s="551"/>
      <c r="AQV33" s="551"/>
      <c r="AQW33" s="551"/>
      <c r="AQX33" s="551"/>
      <c r="AQY33" s="551"/>
      <c r="AQZ33" s="551"/>
      <c r="ARA33" s="551"/>
      <c r="ARB33" s="551"/>
      <c r="ARC33" s="551"/>
      <c r="ARD33" s="551"/>
      <c r="ARE33" s="551"/>
      <c r="ARF33" s="551"/>
      <c r="ARG33" s="551"/>
      <c r="ARH33" s="551"/>
      <c r="ARI33" s="551"/>
      <c r="ARJ33" s="551"/>
      <c r="ARK33" s="551"/>
      <c r="ARL33" s="551"/>
      <c r="ARM33" s="551"/>
      <c r="ARN33" s="551"/>
      <c r="ARO33" s="551"/>
      <c r="ARP33" s="551"/>
      <c r="ARQ33" s="551"/>
      <c r="ARR33" s="551"/>
      <c r="ARS33" s="551"/>
      <c r="ART33" s="551"/>
      <c r="ARU33" s="551"/>
      <c r="ARV33" s="551"/>
      <c r="ARW33" s="551"/>
      <c r="ARX33" s="551"/>
      <c r="ARY33" s="551"/>
      <c r="ARZ33" s="551"/>
      <c r="ASA33" s="551"/>
      <c r="ASB33" s="551"/>
      <c r="ASC33" s="551"/>
      <c r="ASD33" s="551"/>
      <c r="ASE33" s="551"/>
      <c r="ASF33" s="551"/>
      <c r="ASG33" s="551"/>
      <c r="ASH33" s="551"/>
      <c r="ASI33" s="551"/>
      <c r="ASJ33" s="551"/>
      <c r="ASK33" s="551"/>
      <c r="ASL33" s="551"/>
      <c r="ASM33" s="551"/>
      <c r="ASN33" s="551"/>
      <c r="ASO33" s="551"/>
      <c r="ASP33" s="551"/>
      <c r="ASQ33" s="551"/>
      <c r="ASR33" s="551"/>
      <c r="ASS33" s="551"/>
      <c r="AST33" s="551"/>
      <c r="ASU33" s="551"/>
      <c r="ASV33" s="551"/>
      <c r="ASW33" s="551"/>
      <c r="ASX33" s="551"/>
      <c r="ASY33" s="551"/>
      <c r="ASZ33" s="551"/>
      <c r="ATA33" s="551"/>
      <c r="ATB33" s="551"/>
      <c r="ATC33" s="551"/>
      <c r="ATD33" s="551"/>
      <c r="ATE33" s="551"/>
      <c r="ATF33" s="551"/>
      <c r="ATG33" s="551"/>
      <c r="ATH33" s="551"/>
      <c r="ATI33" s="551"/>
      <c r="ATJ33" s="551"/>
      <c r="ATK33" s="551"/>
      <c r="ATL33" s="551"/>
      <c r="ATM33" s="551"/>
      <c r="ATN33" s="551"/>
      <c r="ATO33" s="551"/>
      <c r="ATP33" s="551"/>
      <c r="ATQ33" s="551"/>
      <c r="ATR33" s="551"/>
      <c r="ATS33" s="551"/>
      <c r="ATT33" s="551"/>
      <c r="ATU33" s="551"/>
      <c r="ATV33" s="551"/>
      <c r="ATW33" s="551"/>
      <c r="ATX33" s="551"/>
      <c r="ATY33" s="551"/>
      <c r="ATZ33" s="551"/>
      <c r="AUA33" s="551"/>
      <c r="AUB33" s="551"/>
      <c r="AUC33" s="551"/>
      <c r="AUD33" s="551"/>
      <c r="AUE33" s="551"/>
      <c r="AUF33" s="551"/>
      <c r="AUG33" s="551"/>
      <c r="AUH33" s="551"/>
      <c r="AUI33" s="551"/>
      <c r="AUJ33" s="551"/>
      <c r="AUK33" s="551"/>
      <c r="AUL33" s="551"/>
      <c r="AUM33" s="551"/>
      <c r="AUN33" s="551"/>
      <c r="AUO33" s="551"/>
      <c r="AUP33" s="551"/>
      <c r="AUQ33" s="551"/>
      <c r="AUR33" s="551"/>
      <c r="AUS33" s="551"/>
      <c r="AUT33" s="551"/>
      <c r="AUU33" s="551"/>
      <c r="AUV33" s="551"/>
      <c r="AUW33" s="551"/>
      <c r="AUX33" s="551"/>
      <c r="AUY33" s="551"/>
      <c r="AUZ33" s="551"/>
      <c r="AVA33" s="551"/>
      <c r="AVB33" s="551"/>
      <c r="AVC33" s="551"/>
      <c r="AVD33" s="551"/>
      <c r="AVE33" s="551"/>
      <c r="AVF33" s="551"/>
      <c r="AVG33" s="551"/>
      <c r="AVH33" s="551"/>
      <c r="AVI33" s="551"/>
      <c r="AVJ33" s="551"/>
      <c r="AVK33" s="551"/>
      <c r="AVL33" s="551"/>
      <c r="AVM33" s="551"/>
      <c r="AVN33" s="551"/>
      <c r="AVO33" s="551"/>
      <c r="AVP33" s="551"/>
      <c r="AVQ33" s="551"/>
      <c r="AVR33" s="551"/>
      <c r="AVS33" s="551"/>
      <c r="AVT33" s="551"/>
      <c r="AVU33" s="551"/>
      <c r="AVV33" s="551"/>
      <c r="AVW33" s="551"/>
      <c r="AVX33" s="551"/>
      <c r="AVY33" s="551"/>
      <c r="AVZ33" s="551"/>
      <c r="AWA33" s="551"/>
      <c r="AWB33" s="551"/>
      <c r="AWC33" s="551"/>
      <c r="AWD33" s="551"/>
      <c r="AWE33" s="551"/>
      <c r="AWF33" s="551"/>
      <c r="AWG33" s="551"/>
      <c r="AWH33" s="551"/>
      <c r="AWI33" s="551"/>
      <c r="AWJ33" s="551"/>
      <c r="AWK33" s="551"/>
      <c r="AWL33" s="551"/>
      <c r="AWM33" s="551"/>
      <c r="AWN33" s="551"/>
      <c r="AWO33" s="551"/>
      <c r="AWP33" s="551"/>
      <c r="AWQ33" s="551"/>
      <c r="AWR33" s="551"/>
      <c r="AWS33" s="551"/>
      <c r="AWT33" s="551"/>
      <c r="AWU33" s="551"/>
      <c r="AWV33" s="551"/>
      <c r="AWW33" s="551"/>
      <c r="AWX33" s="551"/>
      <c r="AWY33" s="551"/>
      <c r="AWZ33" s="551"/>
      <c r="AXA33" s="551"/>
      <c r="AXB33" s="551"/>
      <c r="AXC33" s="551"/>
      <c r="AXD33" s="551"/>
      <c r="AXE33" s="551"/>
      <c r="AXF33" s="551"/>
      <c r="AXG33" s="551"/>
      <c r="AXH33" s="551"/>
      <c r="AXI33" s="551"/>
      <c r="AXJ33" s="551"/>
      <c r="AXK33" s="551"/>
      <c r="AXL33" s="551"/>
      <c r="AXM33" s="551"/>
      <c r="AXN33" s="551"/>
      <c r="AXO33" s="551"/>
      <c r="AXP33" s="551"/>
      <c r="AXQ33" s="551"/>
      <c r="AXR33" s="551"/>
      <c r="AXS33" s="551"/>
      <c r="AXT33" s="551"/>
      <c r="AXU33" s="551"/>
      <c r="AXV33" s="551"/>
      <c r="AXW33" s="551"/>
      <c r="AXX33" s="551"/>
      <c r="AXY33" s="551"/>
      <c r="AXZ33" s="551"/>
      <c r="AYA33" s="551"/>
      <c r="AYB33" s="551"/>
      <c r="AYC33" s="551"/>
      <c r="AYD33" s="551"/>
      <c r="AYE33" s="551"/>
      <c r="AYF33" s="551"/>
      <c r="AYG33" s="551"/>
      <c r="AYH33" s="551"/>
      <c r="AYI33" s="551"/>
      <c r="AYJ33" s="551"/>
      <c r="AYK33" s="551"/>
      <c r="AYL33" s="551"/>
      <c r="AYM33" s="551"/>
      <c r="AYN33" s="551"/>
      <c r="AYO33" s="551"/>
      <c r="AYP33" s="551"/>
      <c r="AYQ33" s="551"/>
      <c r="AYR33" s="551"/>
      <c r="AYS33" s="551"/>
      <c r="AYT33" s="551"/>
      <c r="AYU33" s="551"/>
      <c r="AYV33" s="551"/>
      <c r="AYW33" s="551"/>
      <c r="AYX33" s="551"/>
      <c r="AYY33" s="551"/>
      <c r="AYZ33" s="551"/>
      <c r="AZA33" s="551"/>
      <c r="AZB33" s="551"/>
      <c r="AZC33" s="551"/>
      <c r="AZD33" s="551"/>
      <c r="AZE33" s="551"/>
      <c r="AZF33" s="551"/>
      <c r="AZG33" s="551"/>
      <c r="AZH33" s="551"/>
      <c r="AZI33" s="551"/>
      <c r="AZJ33" s="551"/>
      <c r="AZK33" s="551"/>
      <c r="AZL33" s="551"/>
      <c r="AZM33" s="551"/>
      <c r="AZN33" s="551"/>
      <c r="AZO33" s="551"/>
      <c r="AZP33" s="551"/>
      <c r="AZQ33" s="551"/>
      <c r="AZR33" s="551"/>
      <c r="AZS33" s="551"/>
      <c r="AZT33" s="551"/>
      <c r="AZU33" s="551"/>
      <c r="AZV33" s="551"/>
      <c r="AZW33" s="551"/>
      <c r="AZX33" s="551"/>
      <c r="AZY33" s="551"/>
      <c r="AZZ33" s="551"/>
      <c r="BAA33" s="551"/>
      <c r="BAB33" s="551"/>
      <c r="BAC33" s="551"/>
      <c r="BAD33" s="551"/>
      <c r="BAE33" s="551"/>
      <c r="BAF33" s="551"/>
      <c r="BAG33" s="551"/>
      <c r="BAH33" s="551"/>
      <c r="BAI33" s="551"/>
      <c r="BAJ33" s="551"/>
      <c r="BAK33" s="551"/>
      <c r="BAL33" s="551"/>
      <c r="BAM33" s="551"/>
      <c r="BAN33" s="551"/>
      <c r="BAO33" s="551"/>
      <c r="BAP33" s="551"/>
      <c r="BAQ33" s="551"/>
      <c r="BAR33" s="551"/>
      <c r="BAS33" s="551"/>
      <c r="BAT33" s="551"/>
      <c r="BAU33" s="551"/>
      <c r="BAV33" s="551"/>
      <c r="BAW33" s="551"/>
      <c r="BAX33" s="551"/>
      <c r="BAY33" s="551"/>
      <c r="BAZ33" s="551"/>
      <c r="BBA33" s="551"/>
      <c r="BBB33" s="551"/>
      <c r="BBC33" s="551"/>
      <c r="BBD33" s="551"/>
      <c r="BBE33" s="551"/>
      <c r="BBF33" s="551"/>
      <c r="BBG33" s="551"/>
      <c r="BBH33" s="551"/>
      <c r="BBI33" s="551"/>
      <c r="BBJ33" s="551"/>
      <c r="BBK33" s="551"/>
      <c r="BBL33" s="551"/>
      <c r="BBM33" s="551"/>
      <c r="BBN33" s="551"/>
      <c r="BBO33" s="551"/>
      <c r="BBP33" s="551"/>
      <c r="BBQ33" s="551"/>
      <c r="BBR33" s="551"/>
      <c r="BBS33" s="551"/>
      <c r="BBT33" s="551"/>
      <c r="BBU33" s="551"/>
      <c r="BBV33" s="551"/>
      <c r="BBW33" s="551"/>
      <c r="BBX33" s="551"/>
      <c r="BBY33" s="551"/>
      <c r="BBZ33" s="551"/>
      <c r="BCA33" s="551"/>
      <c r="BCB33" s="551"/>
      <c r="BCC33" s="551"/>
      <c r="BCD33" s="551"/>
      <c r="BCE33" s="551"/>
      <c r="BCF33" s="551"/>
      <c r="BCG33" s="551"/>
      <c r="BCH33" s="551"/>
      <c r="BCI33" s="551"/>
      <c r="BCJ33" s="551"/>
      <c r="BCK33" s="551"/>
      <c r="BCL33" s="551"/>
      <c r="BCM33" s="551"/>
      <c r="BCN33" s="551"/>
      <c r="BCO33" s="551"/>
      <c r="BCP33" s="551"/>
      <c r="BCQ33" s="551"/>
      <c r="BCR33" s="551"/>
      <c r="BCS33" s="551"/>
      <c r="BCT33" s="551"/>
      <c r="BCU33" s="551"/>
      <c r="BCV33" s="551"/>
      <c r="BCW33" s="551"/>
      <c r="BCX33" s="551"/>
      <c r="BCY33" s="551"/>
      <c r="BCZ33" s="551"/>
      <c r="BDA33" s="551"/>
      <c r="BDB33" s="551"/>
      <c r="BDC33" s="551"/>
      <c r="BDD33" s="551"/>
      <c r="BDE33" s="551"/>
      <c r="BDF33" s="551"/>
      <c r="BDG33" s="551"/>
      <c r="BDH33" s="551"/>
      <c r="BDI33" s="551"/>
      <c r="BDJ33" s="551"/>
      <c r="BDK33" s="551"/>
      <c r="BDL33" s="551"/>
      <c r="BDM33" s="551"/>
      <c r="BDN33" s="551"/>
      <c r="BDO33" s="551"/>
      <c r="BDP33" s="551"/>
      <c r="BDQ33" s="551"/>
      <c r="BDR33" s="551"/>
      <c r="BDS33" s="551"/>
      <c r="BDT33" s="551"/>
      <c r="BDU33" s="551"/>
      <c r="BDV33" s="551"/>
      <c r="BDW33" s="551"/>
      <c r="BDX33" s="551"/>
      <c r="BDY33" s="551"/>
      <c r="BDZ33" s="551"/>
      <c r="BEA33" s="551"/>
      <c r="BEB33" s="551"/>
      <c r="BEC33" s="551"/>
      <c r="BED33" s="551"/>
      <c r="BEE33" s="551"/>
      <c r="BEF33" s="551"/>
      <c r="BEG33" s="551"/>
      <c r="BEH33" s="551"/>
      <c r="BEI33" s="551"/>
      <c r="BEJ33" s="551"/>
      <c r="BEK33" s="551"/>
      <c r="BEL33" s="551"/>
      <c r="BEM33" s="551"/>
      <c r="BEN33" s="551"/>
      <c r="BEO33" s="551"/>
      <c r="BEP33" s="551"/>
      <c r="BEQ33" s="551"/>
      <c r="BER33" s="551"/>
      <c r="BES33" s="551"/>
      <c r="BET33" s="551"/>
      <c r="BEU33" s="551"/>
      <c r="BEV33" s="551"/>
      <c r="BEW33" s="551"/>
      <c r="BEX33" s="551"/>
      <c r="BEY33" s="551"/>
      <c r="BEZ33" s="551"/>
      <c r="BFA33" s="551"/>
      <c r="BFB33" s="551"/>
      <c r="BFC33" s="551"/>
      <c r="BFD33" s="551"/>
      <c r="BFE33" s="551"/>
      <c r="BFF33" s="551"/>
      <c r="BFG33" s="551"/>
      <c r="BFH33" s="551"/>
      <c r="BFI33" s="551"/>
      <c r="BFJ33" s="551"/>
      <c r="BFK33" s="551"/>
      <c r="BFL33" s="551"/>
      <c r="BFM33" s="551"/>
      <c r="BFN33" s="551"/>
      <c r="BFO33" s="551"/>
      <c r="BFP33" s="551"/>
      <c r="BFQ33" s="551"/>
      <c r="BFR33" s="551"/>
      <c r="BFS33" s="551"/>
      <c r="BFT33" s="551"/>
      <c r="BFU33" s="551"/>
      <c r="BFV33" s="551"/>
      <c r="BFW33" s="551"/>
      <c r="BFX33" s="551"/>
      <c r="BFY33" s="551"/>
      <c r="BFZ33" s="551"/>
      <c r="BGA33" s="551"/>
      <c r="BGB33" s="551"/>
      <c r="BGC33" s="551"/>
      <c r="BGD33" s="551"/>
      <c r="BGE33" s="551"/>
      <c r="BGF33" s="551"/>
      <c r="BGG33" s="551"/>
      <c r="BGH33" s="551"/>
      <c r="BGI33" s="551"/>
      <c r="BGJ33" s="551"/>
      <c r="BGK33" s="551"/>
      <c r="BGL33" s="551"/>
      <c r="BGM33" s="551"/>
      <c r="BGN33" s="551"/>
      <c r="BGO33" s="551"/>
      <c r="BGP33" s="551"/>
      <c r="BGQ33" s="551"/>
      <c r="BGR33" s="551"/>
      <c r="BGS33" s="551"/>
      <c r="BGT33" s="551"/>
      <c r="BGU33" s="551"/>
      <c r="BGV33" s="551"/>
      <c r="BGW33" s="551"/>
      <c r="BGX33" s="551"/>
      <c r="BGY33" s="551"/>
      <c r="BGZ33" s="551"/>
      <c r="BHA33" s="551"/>
      <c r="BHB33" s="551"/>
      <c r="BHC33" s="551"/>
      <c r="BHD33" s="551"/>
      <c r="BHE33" s="551"/>
      <c r="BHF33" s="551"/>
      <c r="BHG33" s="551"/>
      <c r="BHH33" s="551"/>
      <c r="BHI33" s="551"/>
      <c r="BHJ33" s="551"/>
      <c r="BHK33" s="551"/>
      <c r="BHL33" s="551"/>
      <c r="BHM33" s="551"/>
      <c r="BHN33" s="551"/>
      <c r="BHO33" s="551"/>
      <c r="BHP33" s="551"/>
      <c r="BHQ33" s="551"/>
      <c r="BHR33" s="551"/>
      <c r="BHS33" s="551"/>
      <c r="BHT33" s="551"/>
      <c r="BHU33" s="551"/>
      <c r="BHV33" s="551"/>
      <c r="BHW33" s="551"/>
      <c r="BHX33" s="551"/>
      <c r="BHY33" s="551"/>
      <c r="BHZ33" s="551"/>
      <c r="BIA33" s="551"/>
      <c r="BIB33" s="551"/>
      <c r="BIC33" s="551"/>
      <c r="BID33" s="551"/>
      <c r="BIE33" s="551"/>
      <c r="BIF33" s="551"/>
      <c r="BIG33" s="551"/>
      <c r="BIH33" s="551"/>
      <c r="BII33" s="551"/>
      <c r="BIJ33" s="551"/>
      <c r="BIK33" s="551"/>
      <c r="BIL33" s="551"/>
      <c r="BIM33" s="551"/>
      <c r="BIN33" s="551"/>
      <c r="BIO33" s="551"/>
      <c r="BIP33" s="551"/>
      <c r="BIQ33" s="551"/>
      <c r="BIR33" s="551"/>
      <c r="BIS33" s="551"/>
      <c r="BIT33" s="551"/>
      <c r="BIU33" s="551"/>
      <c r="BIV33" s="551"/>
      <c r="BIW33" s="551"/>
      <c r="BIX33" s="551"/>
      <c r="BIY33" s="551"/>
      <c r="BIZ33" s="551"/>
      <c r="BJA33" s="551"/>
      <c r="BJB33" s="551"/>
      <c r="BJC33" s="551"/>
      <c r="BJD33" s="551"/>
      <c r="BJE33" s="551"/>
      <c r="BJF33" s="551"/>
      <c r="BJG33" s="551"/>
      <c r="BJH33" s="551"/>
      <c r="BJI33" s="551"/>
      <c r="BJJ33" s="551"/>
      <c r="BJK33" s="551"/>
      <c r="BJL33" s="551"/>
      <c r="BJM33" s="551"/>
      <c r="BJN33" s="551"/>
      <c r="BJO33" s="551"/>
      <c r="BJP33" s="551"/>
      <c r="BJQ33" s="551"/>
      <c r="BJR33" s="551"/>
      <c r="BJS33" s="551"/>
      <c r="BJT33" s="551"/>
      <c r="BJU33" s="551"/>
      <c r="BJV33" s="551"/>
      <c r="BJW33" s="551"/>
      <c r="BJX33" s="551"/>
      <c r="BJY33" s="551"/>
      <c r="BJZ33" s="551"/>
      <c r="BKA33" s="551"/>
      <c r="BKB33" s="551"/>
      <c r="BKC33" s="551"/>
      <c r="BKD33" s="551"/>
      <c r="BKE33" s="551"/>
      <c r="BKF33" s="551"/>
      <c r="BKG33" s="551"/>
      <c r="BKH33" s="551"/>
      <c r="BKI33" s="551"/>
      <c r="BKJ33" s="551"/>
      <c r="BKK33" s="551"/>
      <c r="BKL33" s="551"/>
      <c r="BKM33" s="551"/>
      <c r="BKN33" s="551"/>
      <c r="BKO33" s="551"/>
      <c r="BKP33" s="551"/>
      <c r="BKQ33" s="551"/>
      <c r="BKR33" s="551"/>
      <c r="BKS33" s="551"/>
      <c r="BKT33" s="551"/>
      <c r="BKU33" s="551"/>
      <c r="BKV33" s="551"/>
      <c r="BKW33" s="551"/>
      <c r="BKX33" s="551"/>
      <c r="BKY33" s="551"/>
      <c r="BKZ33" s="551"/>
      <c r="BLA33" s="551"/>
      <c r="BLB33" s="551"/>
      <c r="BLC33" s="551"/>
      <c r="BLD33" s="551"/>
      <c r="BLE33" s="551"/>
      <c r="BLF33" s="551"/>
      <c r="BLG33" s="551"/>
      <c r="BLH33" s="551"/>
      <c r="BLI33" s="551"/>
      <c r="BLJ33" s="551"/>
      <c r="BLK33" s="551"/>
      <c r="BLL33" s="551"/>
      <c r="BLM33" s="551"/>
      <c r="BLN33" s="551"/>
      <c r="BLO33" s="551"/>
      <c r="BLP33" s="551"/>
      <c r="BLQ33" s="551"/>
      <c r="BLR33" s="551"/>
      <c r="BLS33" s="551"/>
      <c r="BLT33" s="551"/>
      <c r="BLU33" s="551"/>
      <c r="BLV33" s="551"/>
      <c r="BLW33" s="551"/>
      <c r="BLX33" s="551"/>
      <c r="BLY33" s="551"/>
      <c r="BLZ33" s="551"/>
      <c r="BMA33" s="551"/>
      <c r="BMB33" s="551"/>
      <c r="BMC33" s="551"/>
      <c r="BMD33" s="551"/>
      <c r="BME33" s="551"/>
      <c r="BMF33" s="551"/>
      <c r="BMG33" s="551"/>
      <c r="BMH33" s="551"/>
      <c r="BMI33" s="551"/>
      <c r="BMJ33" s="551"/>
      <c r="BMK33" s="551"/>
      <c r="BML33" s="551"/>
      <c r="BMM33" s="551"/>
      <c r="BMN33" s="551"/>
      <c r="BMO33" s="551"/>
      <c r="BMP33" s="551"/>
      <c r="BMQ33" s="551"/>
      <c r="BMR33" s="551"/>
      <c r="BMS33" s="551"/>
      <c r="BMT33" s="551"/>
      <c r="BMU33" s="551"/>
      <c r="BMV33" s="551"/>
      <c r="BMW33" s="551"/>
      <c r="BMX33" s="551"/>
      <c r="BMY33" s="551"/>
      <c r="BMZ33" s="551"/>
      <c r="BNA33" s="551"/>
      <c r="BNB33" s="551"/>
      <c r="BNC33" s="551"/>
      <c r="BND33" s="551"/>
      <c r="BNE33" s="551"/>
      <c r="BNF33" s="551"/>
      <c r="BNG33" s="551"/>
      <c r="BNH33" s="551"/>
      <c r="BNI33" s="551"/>
      <c r="BNJ33" s="551"/>
      <c r="BNK33" s="551"/>
      <c r="BNL33" s="551"/>
      <c r="BNM33" s="551"/>
      <c r="BNN33" s="551"/>
      <c r="BNO33" s="551"/>
      <c r="BNP33" s="551"/>
      <c r="BNQ33" s="551"/>
      <c r="BNR33" s="551"/>
      <c r="BNS33" s="551"/>
      <c r="BNT33" s="551"/>
      <c r="BNU33" s="551"/>
      <c r="BNV33" s="551"/>
      <c r="BNW33" s="551"/>
      <c r="BNX33" s="551"/>
      <c r="BNY33" s="551"/>
      <c r="BNZ33" s="551"/>
      <c r="BOA33" s="551"/>
      <c r="BOB33" s="551"/>
      <c r="BOC33" s="551"/>
      <c r="BOD33" s="551"/>
      <c r="BOE33" s="551"/>
      <c r="BOF33" s="551"/>
      <c r="BOG33" s="551"/>
      <c r="BOH33" s="551"/>
      <c r="BOI33" s="551"/>
      <c r="BOJ33" s="551"/>
      <c r="BOK33" s="551"/>
      <c r="BOL33" s="551"/>
      <c r="BOM33" s="551"/>
      <c r="BON33" s="551"/>
      <c r="BOO33" s="551"/>
      <c r="BOP33" s="551"/>
      <c r="BOQ33" s="551"/>
      <c r="BOR33" s="551"/>
      <c r="BOS33" s="551"/>
      <c r="BOT33" s="551"/>
      <c r="BOU33" s="551"/>
      <c r="BOV33" s="551"/>
      <c r="BOW33" s="551"/>
      <c r="BOX33" s="551"/>
      <c r="BOY33" s="551"/>
      <c r="BOZ33" s="551"/>
      <c r="BPA33" s="551"/>
      <c r="BPB33" s="551"/>
      <c r="BPC33" s="551"/>
      <c r="BPD33" s="551"/>
      <c r="BPE33" s="551"/>
      <c r="BPF33" s="551"/>
      <c r="BPG33" s="551"/>
      <c r="BPH33" s="551"/>
      <c r="BPI33" s="551"/>
      <c r="BPJ33" s="551"/>
      <c r="BPK33" s="551"/>
      <c r="BPL33" s="551"/>
      <c r="BPM33" s="551"/>
      <c r="BPN33" s="551"/>
      <c r="BPO33" s="551"/>
      <c r="BPP33" s="551"/>
      <c r="BPQ33" s="551"/>
      <c r="BPR33" s="551"/>
      <c r="BPS33" s="551"/>
      <c r="BPT33" s="551"/>
      <c r="BPU33" s="551"/>
      <c r="BPV33" s="551"/>
      <c r="BPW33" s="551"/>
      <c r="BPX33" s="551"/>
      <c r="BPY33" s="551"/>
      <c r="BPZ33" s="551"/>
      <c r="BQA33" s="551"/>
      <c r="BQB33" s="551"/>
      <c r="BQC33" s="551"/>
      <c r="BQD33" s="551"/>
      <c r="BQE33" s="551"/>
      <c r="BQF33" s="551"/>
      <c r="BQG33" s="551"/>
      <c r="BQH33" s="551"/>
      <c r="BQI33" s="551"/>
      <c r="BQJ33" s="551"/>
      <c r="BQK33" s="551"/>
      <c r="BQL33" s="551"/>
      <c r="BQM33" s="551"/>
      <c r="BQN33" s="551"/>
      <c r="BQO33" s="551"/>
      <c r="BQP33" s="551"/>
      <c r="BQQ33" s="551"/>
      <c r="BQR33" s="551"/>
      <c r="BQS33" s="551"/>
      <c r="BQT33" s="551"/>
      <c r="BQU33" s="551"/>
      <c r="BQV33" s="551"/>
      <c r="BQW33" s="551"/>
      <c r="BQX33" s="551"/>
      <c r="BQY33" s="551"/>
      <c r="BQZ33" s="551"/>
      <c r="BRA33" s="551"/>
      <c r="BRB33" s="551"/>
      <c r="BRC33" s="551"/>
      <c r="BRD33" s="551"/>
      <c r="BRE33" s="551"/>
      <c r="BRF33" s="551"/>
      <c r="BRG33" s="551"/>
      <c r="BRH33" s="551"/>
      <c r="BRI33" s="551"/>
      <c r="BRJ33" s="551"/>
      <c r="BRK33" s="551"/>
      <c r="BRL33" s="551"/>
      <c r="BRM33" s="551"/>
      <c r="BRN33" s="551"/>
      <c r="BRO33" s="551"/>
      <c r="BRP33" s="551"/>
      <c r="BRQ33" s="551"/>
      <c r="BRR33" s="551"/>
      <c r="BRS33" s="551"/>
      <c r="BRT33" s="551"/>
      <c r="BRU33" s="551"/>
      <c r="BRV33" s="551"/>
      <c r="BRW33" s="551"/>
      <c r="BRX33" s="551"/>
      <c r="BRY33" s="551"/>
      <c r="BRZ33" s="551"/>
      <c r="BSA33" s="551"/>
      <c r="BSB33" s="551"/>
      <c r="BSC33" s="551"/>
      <c r="BSD33" s="551"/>
      <c r="BSE33" s="551"/>
      <c r="BSF33" s="551"/>
      <c r="BSG33" s="551"/>
      <c r="BSH33" s="551"/>
      <c r="BSI33" s="551"/>
      <c r="BSJ33" s="551"/>
      <c r="BSK33" s="551"/>
      <c r="BSL33" s="551"/>
      <c r="BSM33" s="551"/>
      <c r="BSN33" s="551"/>
      <c r="BSO33" s="551"/>
      <c r="BSP33" s="551"/>
      <c r="BSQ33" s="551"/>
      <c r="BSR33" s="551"/>
      <c r="BSS33" s="551"/>
      <c r="BST33" s="551"/>
      <c r="BSU33" s="551"/>
      <c r="BSV33" s="551"/>
      <c r="BSW33" s="551"/>
      <c r="BSX33" s="551"/>
      <c r="BSY33" s="551"/>
      <c r="BSZ33" s="551"/>
      <c r="BTA33" s="551"/>
      <c r="BTB33" s="551"/>
      <c r="BTC33" s="551"/>
      <c r="BTD33" s="551"/>
      <c r="BTE33" s="551"/>
      <c r="BTF33" s="551"/>
      <c r="BTG33" s="551"/>
      <c r="BTH33" s="551"/>
      <c r="BTI33" s="551"/>
      <c r="BTJ33" s="551"/>
      <c r="BTK33" s="551"/>
      <c r="BTL33" s="551"/>
      <c r="BTM33" s="551"/>
      <c r="BTN33" s="551"/>
      <c r="BTO33" s="551"/>
      <c r="BTP33" s="551"/>
      <c r="BTQ33" s="551"/>
      <c r="BTR33" s="551"/>
      <c r="BTS33" s="551"/>
      <c r="BTT33" s="551"/>
      <c r="BTU33" s="551"/>
      <c r="BTV33" s="551"/>
      <c r="BTW33" s="551"/>
      <c r="BTX33" s="551"/>
      <c r="BTY33" s="551"/>
      <c r="BTZ33" s="551"/>
      <c r="BUA33" s="551"/>
      <c r="BUB33" s="551"/>
      <c r="BUC33" s="551"/>
      <c r="BUD33" s="551"/>
      <c r="BUE33" s="551"/>
      <c r="BUF33" s="551"/>
      <c r="BUG33" s="551"/>
      <c r="BUH33" s="551"/>
      <c r="BUI33" s="551"/>
      <c r="BUJ33" s="551"/>
      <c r="BUK33" s="551"/>
      <c r="BUL33" s="551"/>
      <c r="BUM33" s="551"/>
      <c r="BUN33" s="551"/>
      <c r="BUO33" s="551"/>
      <c r="BUP33" s="551"/>
      <c r="BUQ33" s="551"/>
      <c r="BUR33" s="551"/>
      <c r="BUS33" s="551"/>
      <c r="BUT33" s="551"/>
      <c r="BUU33" s="551"/>
      <c r="BUV33" s="551"/>
      <c r="BUW33" s="551"/>
      <c r="BUX33" s="551"/>
      <c r="BUY33" s="551"/>
      <c r="BUZ33" s="551"/>
      <c r="BVA33" s="551"/>
      <c r="BVB33" s="551"/>
      <c r="BVC33" s="551"/>
      <c r="BVD33" s="551"/>
      <c r="BVE33" s="551"/>
      <c r="BVF33" s="551"/>
      <c r="BVG33" s="551"/>
      <c r="BVH33" s="551"/>
      <c r="BVI33" s="551"/>
      <c r="BVJ33" s="551"/>
      <c r="BVK33" s="551"/>
      <c r="BVL33" s="551"/>
      <c r="BVM33" s="551"/>
      <c r="BVN33" s="551"/>
      <c r="BVO33" s="551"/>
      <c r="BVP33" s="551"/>
      <c r="BVQ33" s="551"/>
      <c r="BVR33" s="551"/>
      <c r="BVS33" s="551"/>
      <c r="BVT33" s="551"/>
      <c r="BVU33" s="551"/>
      <c r="BVV33" s="551"/>
      <c r="BVW33" s="551"/>
      <c r="BVX33" s="551"/>
      <c r="BVY33" s="551"/>
      <c r="BVZ33" s="551"/>
      <c r="BWA33" s="551"/>
      <c r="BWB33" s="551"/>
      <c r="BWC33" s="551"/>
      <c r="BWD33" s="551"/>
      <c r="BWE33" s="551"/>
      <c r="BWF33" s="551"/>
      <c r="BWG33" s="551"/>
      <c r="BWH33" s="551"/>
      <c r="BWI33" s="551"/>
      <c r="BWJ33" s="551"/>
      <c r="BWK33" s="551"/>
      <c r="BWL33" s="551"/>
      <c r="BWM33" s="551"/>
      <c r="BWN33" s="551"/>
      <c r="BWO33" s="551"/>
      <c r="BWP33" s="551"/>
      <c r="BWQ33" s="551"/>
      <c r="BWR33" s="551"/>
      <c r="BWS33" s="551"/>
      <c r="BWT33" s="551"/>
      <c r="BWU33" s="551"/>
      <c r="BWV33" s="551"/>
      <c r="BWW33" s="551"/>
      <c r="BWX33" s="551"/>
      <c r="BWY33" s="551"/>
      <c r="BWZ33" s="551"/>
      <c r="BXA33" s="551"/>
      <c r="BXB33" s="551"/>
      <c r="BXC33" s="551"/>
      <c r="BXD33" s="551"/>
      <c r="BXE33" s="551"/>
      <c r="BXF33" s="551"/>
      <c r="BXG33" s="551"/>
      <c r="BXH33" s="551"/>
      <c r="BXI33" s="551"/>
      <c r="BXJ33" s="551"/>
      <c r="BXK33" s="551"/>
      <c r="BXL33" s="551"/>
      <c r="BXM33" s="551"/>
      <c r="BXN33" s="551"/>
      <c r="BXO33" s="551"/>
      <c r="BXP33" s="551"/>
      <c r="BXQ33" s="551"/>
      <c r="BXR33" s="551"/>
      <c r="BXS33" s="551"/>
      <c r="BXT33" s="551"/>
      <c r="BXU33" s="551"/>
      <c r="BXV33" s="551"/>
      <c r="BXW33" s="551"/>
      <c r="BXX33" s="551"/>
      <c r="BXY33" s="551"/>
      <c r="BXZ33" s="551"/>
      <c r="BYA33" s="551"/>
      <c r="BYB33" s="551"/>
      <c r="BYC33" s="551"/>
      <c r="BYD33" s="551"/>
      <c r="BYE33" s="551"/>
      <c r="BYF33" s="551"/>
      <c r="BYG33" s="551"/>
      <c r="BYH33" s="551"/>
      <c r="BYI33" s="551"/>
      <c r="BYJ33" s="551"/>
      <c r="BYK33" s="551"/>
      <c r="BYL33" s="551"/>
      <c r="BYM33" s="551"/>
      <c r="BYN33" s="551"/>
      <c r="BYO33" s="551"/>
      <c r="BYP33" s="551"/>
      <c r="BYQ33" s="551"/>
      <c r="BYR33" s="551"/>
      <c r="BYS33" s="551"/>
      <c r="BYT33" s="551"/>
      <c r="BYU33" s="551"/>
      <c r="BYV33" s="551"/>
      <c r="BYW33" s="551"/>
      <c r="BYX33" s="551"/>
      <c r="BYY33" s="551"/>
      <c r="BYZ33" s="551"/>
      <c r="BZA33" s="551"/>
      <c r="BZB33" s="551"/>
      <c r="BZC33" s="551"/>
      <c r="BZD33" s="551"/>
      <c r="BZE33" s="551"/>
      <c r="BZF33" s="551"/>
      <c r="BZG33" s="551"/>
      <c r="BZH33" s="551"/>
      <c r="BZI33" s="551"/>
      <c r="BZJ33" s="551"/>
      <c r="BZK33" s="551"/>
      <c r="BZL33" s="551"/>
      <c r="BZM33" s="551"/>
      <c r="BZN33" s="551"/>
      <c r="BZO33" s="551"/>
      <c r="BZP33" s="551"/>
      <c r="BZQ33" s="551"/>
      <c r="BZR33" s="551"/>
      <c r="BZS33" s="551"/>
      <c r="BZT33" s="551"/>
      <c r="BZU33" s="551"/>
      <c r="BZV33" s="551"/>
      <c r="BZW33" s="551"/>
      <c r="BZX33" s="551"/>
      <c r="BZY33" s="551"/>
      <c r="BZZ33" s="551"/>
      <c r="CAA33" s="551"/>
      <c r="CAB33" s="551"/>
      <c r="CAC33" s="551"/>
      <c r="CAD33" s="551"/>
      <c r="CAE33" s="551"/>
      <c r="CAF33" s="551"/>
      <c r="CAG33" s="551"/>
      <c r="CAH33" s="551"/>
      <c r="CAI33" s="551"/>
      <c r="CAJ33" s="551"/>
      <c r="CAK33" s="551"/>
      <c r="CAL33" s="551"/>
      <c r="CAM33" s="551"/>
      <c r="CAN33" s="551"/>
      <c r="CAO33" s="551"/>
      <c r="CAP33" s="551"/>
      <c r="CAQ33" s="551"/>
      <c r="CAR33" s="551"/>
      <c r="CAS33" s="551"/>
      <c r="CAT33" s="551"/>
      <c r="CAU33" s="551"/>
      <c r="CAV33" s="551"/>
      <c r="CAW33" s="551"/>
      <c r="CAX33" s="551"/>
      <c r="CAY33" s="551"/>
      <c r="CAZ33" s="551"/>
      <c r="CBA33" s="551"/>
      <c r="CBB33" s="551"/>
      <c r="CBC33" s="551"/>
      <c r="CBD33" s="551"/>
      <c r="CBE33" s="551"/>
      <c r="CBF33" s="551"/>
      <c r="CBG33" s="551"/>
      <c r="CBH33" s="551"/>
      <c r="CBI33" s="551"/>
      <c r="CBJ33" s="551"/>
      <c r="CBK33" s="551"/>
      <c r="CBL33" s="551"/>
      <c r="CBM33" s="551"/>
      <c r="CBN33" s="551"/>
      <c r="CBO33" s="551"/>
      <c r="CBP33" s="551"/>
      <c r="CBQ33" s="551"/>
      <c r="CBR33" s="551"/>
      <c r="CBS33" s="551"/>
      <c r="CBT33" s="551"/>
      <c r="CBU33" s="551"/>
      <c r="CBV33" s="551"/>
      <c r="CBW33" s="551"/>
      <c r="CBX33" s="551"/>
      <c r="CBY33" s="551"/>
      <c r="CBZ33" s="551"/>
      <c r="CCA33" s="551"/>
      <c r="CCB33" s="551"/>
      <c r="CCC33" s="551"/>
      <c r="CCD33" s="551"/>
      <c r="CCE33" s="551"/>
      <c r="CCF33" s="551"/>
      <c r="CCG33" s="551"/>
      <c r="CCH33" s="551"/>
      <c r="CCI33" s="551"/>
      <c r="CCJ33" s="551"/>
      <c r="CCK33" s="551"/>
      <c r="CCL33" s="551"/>
      <c r="CCM33" s="551"/>
      <c r="CCN33" s="551"/>
      <c r="CCO33" s="551"/>
      <c r="CCP33" s="551"/>
      <c r="CCQ33" s="551"/>
      <c r="CCR33" s="551"/>
      <c r="CCS33" s="551"/>
      <c r="CCT33" s="551"/>
      <c r="CCU33" s="551"/>
      <c r="CCV33" s="551"/>
      <c r="CCW33" s="551"/>
      <c r="CCX33" s="551"/>
      <c r="CCY33" s="551"/>
      <c r="CCZ33" s="551"/>
      <c r="CDA33" s="551"/>
      <c r="CDB33" s="551"/>
      <c r="CDC33" s="551"/>
      <c r="CDD33" s="551"/>
      <c r="CDE33" s="551"/>
      <c r="CDF33" s="551"/>
      <c r="CDG33" s="551"/>
      <c r="CDH33" s="551"/>
      <c r="CDI33" s="551"/>
      <c r="CDJ33" s="551"/>
      <c r="CDK33" s="551"/>
      <c r="CDL33" s="551"/>
      <c r="CDM33" s="551"/>
      <c r="CDN33" s="551"/>
      <c r="CDO33" s="551"/>
      <c r="CDP33" s="551"/>
      <c r="CDQ33" s="551"/>
      <c r="CDR33" s="551"/>
      <c r="CDS33" s="551"/>
      <c r="CDT33" s="551"/>
      <c r="CDU33" s="551"/>
      <c r="CDV33" s="551"/>
      <c r="CDW33" s="551"/>
      <c r="CDX33" s="551"/>
      <c r="CDY33" s="551"/>
      <c r="CDZ33" s="551"/>
      <c r="CEA33" s="551"/>
      <c r="CEB33" s="551"/>
      <c r="CEC33" s="551"/>
      <c r="CED33" s="551"/>
      <c r="CEE33" s="551"/>
      <c r="CEF33" s="551"/>
      <c r="CEG33" s="551"/>
      <c r="CEH33" s="551"/>
      <c r="CEI33" s="551"/>
      <c r="CEJ33" s="551"/>
      <c r="CEK33" s="551"/>
      <c r="CEL33" s="551"/>
      <c r="CEM33" s="551"/>
      <c r="CEN33" s="551"/>
      <c r="CEO33" s="551"/>
      <c r="CEP33" s="551"/>
      <c r="CEQ33" s="551"/>
      <c r="CER33" s="551"/>
      <c r="CES33" s="551"/>
      <c r="CET33" s="551"/>
      <c r="CEU33" s="551"/>
      <c r="CEV33" s="551"/>
      <c r="CEW33" s="551"/>
      <c r="CEX33" s="551"/>
      <c r="CEY33" s="551"/>
      <c r="CEZ33" s="551"/>
      <c r="CFA33" s="551"/>
      <c r="CFB33" s="551"/>
      <c r="CFC33" s="551"/>
      <c r="CFD33" s="551"/>
      <c r="CFE33" s="551"/>
      <c r="CFF33" s="551"/>
      <c r="CFG33" s="551"/>
      <c r="CFH33" s="551"/>
      <c r="CFI33" s="551"/>
      <c r="CFJ33" s="551"/>
      <c r="CFK33" s="551"/>
      <c r="CFL33" s="551"/>
      <c r="CFM33" s="551"/>
      <c r="CFN33" s="551"/>
      <c r="CFO33" s="551"/>
      <c r="CFP33" s="551"/>
      <c r="CFQ33" s="551"/>
      <c r="CFR33" s="551"/>
      <c r="CFS33" s="551"/>
      <c r="CFT33" s="551"/>
      <c r="CFU33" s="551"/>
      <c r="CFV33" s="551"/>
      <c r="CFW33" s="551"/>
      <c r="CFX33" s="551"/>
      <c r="CFY33" s="551"/>
      <c r="CFZ33" s="551"/>
      <c r="CGA33" s="551"/>
      <c r="CGB33" s="551"/>
      <c r="CGC33" s="551"/>
      <c r="CGD33" s="551"/>
      <c r="CGE33" s="551"/>
      <c r="CGF33" s="551"/>
      <c r="CGG33" s="551"/>
      <c r="CGH33" s="551"/>
      <c r="CGI33" s="551"/>
      <c r="CGJ33" s="551"/>
      <c r="CGK33" s="551"/>
      <c r="CGL33" s="551"/>
      <c r="CGM33" s="551"/>
      <c r="CGN33" s="551"/>
      <c r="CGO33" s="551"/>
      <c r="CGP33" s="551"/>
      <c r="CGQ33" s="551"/>
      <c r="CGR33" s="551"/>
      <c r="CGS33" s="551"/>
      <c r="CGT33" s="551"/>
      <c r="CGU33" s="551"/>
      <c r="CGV33" s="551"/>
      <c r="CGW33" s="551"/>
      <c r="CGX33" s="551"/>
      <c r="CGY33" s="551"/>
      <c r="CGZ33" s="551"/>
      <c r="CHA33" s="551"/>
      <c r="CHB33" s="551"/>
      <c r="CHC33" s="551"/>
      <c r="CHD33" s="551"/>
      <c r="CHE33" s="551"/>
      <c r="CHF33" s="551"/>
      <c r="CHG33" s="551"/>
      <c r="CHH33" s="551"/>
      <c r="CHI33" s="551"/>
      <c r="CHJ33" s="551"/>
      <c r="CHK33" s="551"/>
      <c r="CHL33" s="551"/>
      <c r="CHM33" s="551"/>
      <c r="CHN33" s="551"/>
      <c r="CHO33" s="551"/>
      <c r="CHP33" s="551"/>
      <c r="CHQ33" s="551"/>
      <c r="CHR33" s="551"/>
      <c r="CHS33" s="551"/>
      <c r="CHT33" s="551"/>
      <c r="CHU33" s="551"/>
      <c r="CHV33" s="551"/>
      <c r="CHW33" s="551"/>
      <c r="CHX33" s="551"/>
      <c r="CHY33" s="551"/>
      <c r="CHZ33" s="551"/>
      <c r="CIA33" s="551"/>
      <c r="CIB33" s="551"/>
      <c r="CIC33" s="551"/>
      <c r="CID33" s="551"/>
      <c r="CIE33" s="551"/>
      <c r="CIF33" s="551"/>
      <c r="CIG33" s="551"/>
      <c r="CIH33" s="551"/>
      <c r="CII33" s="551"/>
      <c r="CIJ33" s="551"/>
      <c r="CIK33" s="551"/>
      <c r="CIL33" s="551"/>
      <c r="CIM33" s="551"/>
      <c r="CIN33" s="551"/>
      <c r="CIO33" s="551"/>
      <c r="CIP33" s="551"/>
      <c r="CIQ33" s="551"/>
      <c r="CIR33" s="551"/>
      <c r="CIS33" s="551"/>
      <c r="CIT33" s="551"/>
      <c r="CIU33" s="551"/>
      <c r="CIV33" s="551"/>
      <c r="CIW33" s="551"/>
      <c r="CIX33" s="551"/>
      <c r="CIY33" s="551"/>
      <c r="CIZ33" s="551"/>
      <c r="CJA33" s="551"/>
      <c r="CJB33" s="551"/>
      <c r="CJC33" s="551"/>
      <c r="CJD33" s="551"/>
      <c r="CJE33" s="551"/>
      <c r="CJF33" s="551"/>
      <c r="CJG33" s="551"/>
      <c r="CJH33" s="551"/>
      <c r="CJI33" s="551"/>
      <c r="CJJ33" s="551"/>
      <c r="CJK33" s="551"/>
      <c r="CJL33" s="551"/>
      <c r="CJM33" s="551"/>
      <c r="CJN33" s="551"/>
      <c r="CJO33" s="551"/>
      <c r="CJP33" s="551"/>
      <c r="CJQ33" s="551"/>
      <c r="CJR33" s="551"/>
      <c r="CJS33" s="551"/>
      <c r="CJT33" s="551"/>
      <c r="CJU33" s="551"/>
      <c r="CJV33" s="551"/>
      <c r="CJW33" s="551"/>
      <c r="CJX33" s="551"/>
      <c r="CJY33" s="551"/>
      <c r="CJZ33" s="551"/>
      <c r="CKA33" s="551"/>
      <c r="CKB33" s="551"/>
      <c r="CKC33" s="551"/>
      <c r="CKD33" s="551"/>
      <c r="CKE33" s="551"/>
      <c r="CKF33" s="551"/>
      <c r="CKG33" s="551"/>
      <c r="CKH33" s="551"/>
      <c r="CKI33" s="551"/>
      <c r="CKJ33" s="551"/>
      <c r="CKK33" s="551"/>
      <c r="CKL33" s="551"/>
      <c r="CKM33" s="551"/>
      <c r="CKN33" s="551"/>
      <c r="CKO33" s="551"/>
      <c r="CKP33" s="551"/>
      <c r="CKQ33" s="551"/>
      <c r="CKR33" s="551"/>
      <c r="CKS33" s="551"/>
      <c r="CKT33" s="551"/>
      <c r="CKU33" s="551"/>
      <c r="CKV33" s="551"/>
      <c r="CKW33" s="551"/>
      <c r="CKX33" s="551"/>
      <c r="CKY33" s="551"/>
      <c r="CKZ33" s="551"/>
      <c r="CLA33" s="551"/>
      <c r="CLB33" s="551"/>
      <c r="CLC33" s="551"/>
      <c r="CLD33" s="551"/>
      <c r="CLE33" s="551"/>
      <c r="CLF33" s="551"/>
      <c r="CLG33" s="551"/>
      <c r="CLH33" s="551"/>
      <c r="CLI33" s="551"/>
      <c r="CLJ33" s="551"/>
      <c r="CLK33" s="551"/>
      <c r="CLL33" s="551"/>
      <c r="CLM33" s="551"/>
      <c r="CLN33" s="551"/>
      <c r="CLO33" s="551"/>
      <c r="CLP33" s="551"/>
      <c r="CLQ33" s="551"/>
      <c r="CLR33" s="551"/>
      <c r="CLS33" s="551"/>
      <c r="CLT33" s="551"/>
      <c r="CLU33" s="551"/>
      <c r="CLV33" s="551"/>
      <c r="CLW33" s="551"/>
      <c r="CLX33" s="551"/>
      <c r="CLY33" s="551"/>
      <c r="CLZ33" s="551"/>
      <c r="CMA33" s="551"/>
      <c r="CMB33" s="551"/>
      <c r="CMC33" s="551"/>
      <c r="CMD33" s="551"/>
      <c r="CME33" s="551"/>
      <c r="CMF33" s="551"/>
      <c r="CMG33" s="551"/>
      <c r="CMH33" s="551"/>
      <c r="CMI33" s="551"/>
      <c r="CMJ33" s="551"/>
      <c r="CMK33" s="551"/>
      <c r="CML33" s="551"/>
      <c r="CMM33" s="551"/>
      <c r="CMN33" s="551"/>
      <c r="CMO33" s="551"/>
      <c r="CMP33" s="551"/>
      <c r="CMQ33" s="551"/>
      <c r="CMR33" s="551"/>
      <c r="CMS33" s="551"/>
      <c r="CMT33" s="551"/>
      <c r="CMU33" s="551"/>
      <c r="CMV33" s="551"/>
      <c r="CMW33" s="551"/>
      <c r="CMX33" s="551"/>
      <c r="CMY33" s="551"/>
      <c r="CMZ33" s="551"/>
      <c r="CNA33" s="551"/>
      <c r="CNB33" s="551"/>
      <c r="CNC33" s="551"/>
      <c r="CND33" s="551"/>
      <c r="CNE33" s="551"/>
      <c r="CNF33" s="551"/>
      <c r="CNG33" s="551"/>
      <c r="CNH33" s="551"/>
      <c r="CNI33" s="551"/>
      <c r="CNJ33" s="551"/>
      <c r="CNK33" s="551"/>
      <c r="CNL33" s="551"/>
      <c r="CNM33" s="551"/>
      <c r="CNN33" s="551"/>
      <c r="CNO33" s="551"/>
      <c r="CNP33" s="551"/>
      <c r="CNQ33" s="551"/>
      <c r="CNR33" s="551"/>
      <c r="CNS33" s="551"/>
      <c r="CNT33" s="551"/>
      <c r="CNU33" s="551"/>
      <c r="CNV33" s="551"/>
      <c r="CNW33" s="551"/>
      <c r="CNX33" s="551"/>
      <c r="CNY33" s="551"/>
      <c r="CNZ33" s="551"/>
      <c r="COA33" s="551"/>
      <c r="COB33" s="551"/>
      <c r="COC33" s="551"/>
      <c r="COD33" s="551"/>
      <c r="COE33" s="551"/>
      <c r="COF33" s="551"/>
      <c r="COG33" s="551"/>
      <c r="COH33" s="551"/>
      <c r="COI33" s="551"/>
      <c r="COJ33" s="551"/>
      <c r="COK33" s="551"/>
      <c r="COL33" s="551"/>
      <c r="COM33" s="551"/>
      <c r="CON33" s="551"/>
      <c r="COO33" s="551"/>
      <c r="COP33" s="551"/>
      <c r="COQ33" s="551"/>
      <c r="COR33" s="551"/>
      <c r="COS33" s="551"/>
      <c r="COT33" s="551"/>
      <c r="COU33" s="551"/>
      <c r="COV33" s="551"/>
      <c r="COW33" s="551"/>
      <c r="COX33" s="551"/>
      <c r="COY33" s="551"/>
      <c r="COZ33" s="551"/>
      <c r="CPA33" s="551"/>
      <c r="CPB33" s="551"/>
      <c r="CPC33" s="551"/>
      <c r="CPD33" s="551"/>
      <c r="CPE33" s="551"/>
      <c r="CPF33" s="551"/>
      <c r="CPG33" s="551"/>
      <c r="CPH33" s="551"/>
      <c r="CPI33" s="551"/>
      <c r="CPJ33" s="551"/>
      <c r="CPK33" s="551"/>
      <c r="CPL33" s="551"/>
      <c r="CPM33" s="551"/>
      <c r="CPN33" s="551"/>
      <c r="CPO33" s="551"/>
      <c r="CPP33" s="551"/>
      <c r="CPQ33" s="551"/>
      <c r="CPR33" s="551"/>
      <c r="CPS33" s="551"/>
      <c r="CPT33" s="551"/>
      <c r="CPU33" s="551"/>
      <c r="CPV33" s="551"/>
      <c r="CPW33" s="551"/>
      <c r="CPX33" s="551"/>
      <c r="CPY33" s="551"/>
      <c r="CPZ33" s="551"/>
      <c r="CQA33" s="551"/>
      <c r="CQB33" s="551"/>
      <c r="CQC33" s="551"/>
      <c r="CQD33" s="551"/>
      <c r="CQE33" s="551"/>
      <c r="CQF33" s="551"/>
      <c r="CQG33" s="551"/>
      <c r="CQH33" s="551"/>
      <c r="CQI33" s="551"/>
      <c r="CQJ33" s="551"/>
      <c r="CQK33" s="551"/>
      <c r="CQL33" s="551"/>
      <c r="CQM33" s="551"/>
      <c r="CQN33" s="551"/>
      <c r="CQO33" s="551"/>
      <c r="CQP33" s="551"/>
      <c r="CQQ33" s="551"/>
      <c r="CQR33" s="551"/>
      <c r="CQS33" s="551"/>
      <c r="CQT33" s="551"/>
      <c r="CQU33" s="551"/>
      <c r="CQV33" s="551"/>
      <c r="CQW33" s="551"/>
      <c r="CQX33" s="551"/>
      <c r="CQY33" s="551"/>
      <c r="CQZ33" s="551"/>
      <c r="CRA33" s="551"/>
      <c r="CRB33" s="551"/>
      <c r="CRC33" s="551"/>
      <c r="CRD33" s="551"/>
      <c r="CRE33" s="551"/>
      <c r="CRF33" s="551"/>
      <c r="CRG33" s="551"/>
      <c r="CRH33" s="551"/>
      <c r="CRI33" s="551"/>
      <c r="CRJ33" s="551"/>
      <c r="CRK33" s="551"/>
      <c r="CRL33" s="551"/>
      <c r="CRM33" s="551"/>
      <c r="CRN33" s="551"/>
      <c r="CRO33" s="551"/>
      <c r="CRP33" s="551"/>
      <c r="CRQ33" s="551"/>
      <c r="CRR33" s="551"/>
      <c r="CRS33" s="551"/>
      <c r="CRT33" s="551"/>
      <c r="CRU33" s="551"/>
      <c r="CRV33" s="551"/>
      <c r="CRW33" s="551"/>
      <c r="CRX33" s="551"/>
      <c r="CRY33" s="551"/>
      <c r="CRZ33" s="551"/>
      <c r="CSA33" s="551"/>
      <c r="CSB33" s="551"/>
      <c r="CSC33" s="551"/>
      <c r="CSD33" s="551"/>
      <c r="CSE33" s="551"/>
      <c r="CSF33" s="551"/>
      <c r="CSG33" s="551"/>
      <c r="CSH33" s="551"/>
      <c r="CSI33" s="551"/>
      <c r="CSJ33" s="551"/>
      <c r="CSK33" s="551"/>
      <c r="CSL33" s="551"/>
      <c r="CSM33" s="551"/>
      <c r="CSN33" s="551"/>
      <c r="CSO33" s="551"/>
      <c r="CSP33" s="551"/>
      <c r="CSQ33" s="551"/>
      <c r="CSR33" s="551"/>
      <c r="CSS33" s="551"/>
      <c r="CST33" s="551"/>
      <c r="CSU33" s="551"/>
      <c r="CSV33" s="551"/>
      <c r="CSW33" s="551"/>
      <c r="CSX33" s="551"/>
      <c r="CSY33" s="551"/>
      <c r="CSZ33" s="551"/>
      <c r="CTA33" s="551"/>
      <c r="CTB33" s="551"/>
      <c r="CTC33" s="551"/>
      <c r="CTD33" s="551"/>
      <c r="CTE33" s="551"/>
      <c r="CTF33" s="551"/>
      <c r="CTG33" s="551"/>
      <c r="CTH33" s="551"/>
      <c r="CTI33" s="551"/>
      <c r="CTJ33" s="551"/>
      <c r="CTK33" s="551"/>
      <c r="CTL33" s="551"/>
      <c r="CTM33" s="551"/>
      <c r="CTN33" s="551"/>
      <c r="CTO33" s="551"/>
      <c r="CTP33" s="551"/>
      <c r="CTQ33" s="551"/>
      <c r="CTR33" s="551"/>
      <c r="CTS33" s="551"/>
      <c r="CTT33" s="551"/>
      <c r="CTU33" s="551"/>
      <c r="CTV33" s="551"/>
      <c r="CTW33" s="551"/>
      <c r="CTX33" s="551"/>
      <c r="CTY33" s="551"/>
      <c r="CTZ33" s="551"/>
      <c r="CUA33" s="551"/>
      <c r="CUB33" s="551"/>
      <c r="CUC33" s="551"/>
      <c r="CUD33" s="551"/>
      <c r="CUE33" s="551"/>
      <c r="CUF33" s="551"/>
      <c r="CUG33" s="551"/>
      <c r="CUH33" s="551"/>
      <c r="CUI33" s="551"/>
      <c r="CUJ33" s="551"/>
      <c r="CUK33" s="551"/>
      <c r="CUL33" s="551"/>
      <c r="CUM33" s="551"/>
      <c r="CUN33" s="551"/>
      <c r="CUO33" s="551"/>
      <c r="CUP33" s="551"/>
      <c r="CUQ33" s="551"/>
      <c r="CUR33" s="551"/>
      <c r="CUS33" s="551"/>
      <c r="CUT33" s="551"/>
      <c r="CUU33" s="551"/>
      <c r="CUV33" s="551"/>
      <c r="CUW33" s="551"/>
      <c r="CUX33" s="551"/>
      <c r="CUY33" s="551"/>
      <c r="CUZ33" s="551"/>
      <c r="CVA33" s="551"/>
      <c r="CVB33" s="551"/>
      <c r="CVC33" s="551"/>
      <c r="CVD33" s="551"/>
      <c r="CVE33" s="551"/>
      <c r="CVF33" s="551"/>
      <c r="CVG33" s="551"/>
      <c r="CVH33" s="551"/>
      <c r="CVI33" s="551"/>
      <c r="CVJ33" s="551"/>
      <c r="CVK33" s="551"/>
      <c r="CVL33" s="551"/>
      <c r="CVM33" s="551"/>
      <c r="CVN33" s="551"/>
      <c r="CVO33" s="551"/>
      <c r="CVP33" s="551"/>
      <c r="CVQ33" s="551"/>
      <c r="CVR33" s="551"/>
      <c r="CVS33" s="551"/>
      <c r="CVT33" s="551"/>
      <c r="CVU33" s="551"/>
      <c r="CVV33" s="551"/>
      <c r="CVW33" s="551"/>
      <c r="CVX33" s="551"/>
      <c r="CVY33" s="551"/>
      <c r="CVZ33" s="551"/>
      <c r="CWA33" s="551"/>
      <c r="CWB33" s="551"/>
      <c r="CWC33" s="551"/>
      <c r="CWD33" s="551"/>
      <c r="CWE33" s="551"/>
      <c r="CWF33" s="551"/>
      <c r="CWG33" s="551"/>
      <c r="CWH33" s="551"/>
      <c r="CWI33" s="551"/>
      <c r="CWJ33" s="551"/>
      <c r="CWK33" s="551"/>
      <c r="CWL33" s="551"/>
      <c r="CWM33" s="551"/>
      <c r="CWN33" s="551"/>
      <c r="CWO33" s="551"/>
      <c r="CWP33" s="551"/>
      <c r="CWQ33" s="551"/>
      <c r="CWR33" s="551"/>
      <c r="CWS33" s="551"/>
      <c r="CWT33" s="551"/>
      <c r="CWU33" s="551"/>
      <c r="CWV33" s="551"/>
      <c r="CWW33" s="551"/>
      <c r="CWX33" s="551"/>
      <c r="CWY33" s="551"/>
      <c r="CWZ33" s="551"/>
      <c r="CXA33" s="551"/>
      <c r="CXB33" s="551"/>
      <c r="CXC33" s="551"/>
      <c r="CXD33" s="551"/>
      <c r="CXE33" s="551"/>
      <c r="CXF33" s="551"/>
      <c r="CXG33" s="551"/>
      <c r="CXH33" s="551"/>
      <c r="CXI33" s="551"/>
      <c r="CXJ33" s="551"/>
      <c r="CXK33" s="551"/>
      <c r="CXL33" s="551"/>
      <c r="CXM33" s="551"/>
      <c r="CXN33" s="551"/>
      <c r="CXO33" s="551"/>
      <c r="CXP33" s="551"/>
      <c r="CXQ33" s="551"/>
      <c r="CXR33" s="551"/>
      <c r="CXS33" s="551"/>
      <c r="CXT33" s="551"/>
      <c r="CXU33" s="551"/>
      <c r="CXV33" s="551"/>
      <c r="CXW33" s="551"/>
      <c r="CXX33" s="551"/>
      <c r="CXY33" s="551"/>
      <c r="CXZ33" s="551"/>
      <c r="CYA33" s="551"/>
      <c r="CYB33" s="551"/>
      <c r="CYC33" s="551"/>
      <c r="CYD33" s="551"/>
      <c r="CYE33" s="551"/>
      <c r="CYF33" s="551"/>
      <c r="CYG33" s="551"/>
      <c r="CYH33" s="551"/>
      <c r="CYI33" s="551"/>
      <c r="CYJ33" s="551"/>
      <c r="CYK33" s="551"/>
      <c r="CYL33" s="551"/>
      <c r="CYM33" s="551"/>
      <c r="CYN33" s="551"/>
      <c r="CYO33" s="551"/>
      <c r="CYP33" s="551"/>
      <c r="CYQ33" s="551"/>
      <c r="CYR33" s="551"/>
      <c r="CYS33" s="551"/>
      <c r="CYT33" s="551"/>
      <c r="CYU33" s="551"/>
      <c r="CYV33" s="551"/>
      <c r="CYW33" s="551"/>
      <c r="CYX33" s="551"/>
      <c r="CYY33" s="551"/>
      <c r="CYZ33" s="551"/>
      <c r="CZA33" s="551"/>
      <c r="CZB33" s="551"/>
      <c r="CZC33" s="551"/>
      <c r="CZD33" s="551"/>
      <c r="CZE33" s="551"/>
      <c r="CZF33" s="551"/>
      <c r="CZG33" s="551"/>
      <c r="CZH33" s="551"/>
      <c r="CZI33" s="551"/>
      <c r="CZJ33" s="551"/>
      <c r="CZK33" s="551"/>
      <c r="CZL33" s="551"/>
      <c r="CZM33" s="551"/>
      <c r="CZN33" s="551"/>
      <c r="CZO33" s="551"/>
      <c r="CZP33" s="551"/>
      <c r="CZQ33" s="551"/>
      <c r="CZR33" s="551"/>
      <c r="CZS33" s="551"/>
      <c r="CZT33" s="551"/>
      <c r="CZU33" s="551"/>
      <c r="CZV33" s="551"/>
      <c r="CZW33" s="551"/>
      <c r="CZX33" s="551"/>
      <c r="CZY33" s="551"/>
      <c r="CZZ33" s="551"/>
      <c r="DAA33" s="551"/>
      <c r="DAB33" s="551"/>
      <c r="DAC33" s="551"/>
      <c r="DAD33" s="551"/>
      <c r="DAE33" s="551"/>
      <c r="DAF33" s="551"/>
      <c r="DAG33" s="551"/>
      <c r="DAH33" s="551"/>
      <c r="DAI33" s="551"/>
      <c r="DAJ33" s="551"/>
      <c r="DAK33" s="551"/>
      <c r="DAL33" s="551"/>
      <c r="DAM33" s="551"/>
      <c r="DAN33" s="551"/>
      <c r="DAO33" s="551"/>
      <c r="DAP33" s="551"/>
      <c r="DAQ33" s="551"/>
      <c r="DAR33" s="551"/>
      <c r="DAS33" s="551"/>
      <c r="DAT33" s="551"/>
      <c r="DAU33" s="551"/>
      <c r="DAV33" s="551"/>
      <c r="DAW33" s="551"/>
      <c r="DAX33" s="551"/>
      <c r="DAY33" s="551"/>
      <c r="DAZ33" s="551"/>
      <c r="DBA33" s="551"/>
      <c r="DBB33" s="551"/>
      <c r="DBC33" s="551"/>
      <c r="DBD33" s="551"/>
      <c r="DBE33" s="551"/>
      <c r="DBF33" s="551"/>
      <c r="DBG33" s="551"/>
      <c r="DBH33" s="551"/>
      <c r="DBI33" s="551"/>
      <c r="DBJ33" s="551"/>
      <c r="DBK33" s="551"/>
      <c r="DBL33" s="551"/>
      <c r="DBM33" s="551"/>
      <c r="DBN33" s="551"/>
      <c r="DBO33" s="551"/>
      <c r="DBP33" s="551"/>
      <c r="DBQ33" s="551"/>
      <c r="DBR33" s="551"/>
      <c r="DBS33" s="551"/>
      <c r="DBT33" s="551"/>
      <c r="DBU33" s="551"/>
      <c r="DBV33" s="551"/>
      <c r="DBW33" s="551"/>
      <c r="DBX33" s="551"/>
      <c r="DBY33" s="551"/>
      <c r="DBZ33" s="551"/>
      <c r="DCA33" s="551"/>
      <c r="DCB33" s="551"/>
      <c r="DCC33" s="551"/>
      <c r="DCD33" s="551"/>
      <c r="DCE33" s="551"/>
      <c r="DCF33" s="551"/>
      <c r="DCG33" s="551"/>
      <c r="DCH33" s="551"/>
      <c r="DCI33" s="551"/>
      <c r="DCJ33" s="551"/>
      <c r="DCK33" s="551"/>
      <c r="DCL33" s="551"/>
      <c r="DCM33" s="551"/>
      <c r="DCN33" s="551"/>
      <c r="DCO33" s="551"/>
      <c r="DCP33" s="551"/>
      <c r="DCQ33" s="551"/>
      <c r="DCR33" s="551"/>
      <c r="DCS33" s="551"/>
      <c r="DCT33" s="551"/>
      <c r="DCU33" s="551"/>
      <c r="DCV33" s="551"/>
      <c r="DCW33" s="551"/>
      <c r="DCX33" s="551"/>
      <c r="DCY33" s="551"/>
      <c r="DCZ33" s="551"/>
      <c r="DDA33" s="551"/>
      <c r="DDB33" s="551"/>
      <c r="DDC33" s="551"/>
      <c r="DDD33" s="551"/>
      <c r="DDE33" s="551"/>
      <c r="DDF33" s="551"/>
      <c r="DDG33" s="551"/>
      <c r="DDH33" s="551"/>
      <c r="DDI33" s="551"/>
      <c r="DDJ33" s="551"/>
      <c r="DDK33" s="551"/>
      <c r="DDL33" s="551"/>
      <c r="DDM33" s="551"/>
      <c r="DDN33" s="551"/>
      <c r="DDO33" s="551"/>
      <c r="DDP33" s="551"/>
      <c r="DDQ33" s="551"/>
      <c r="DDR33" s="551"/>
      <c r="DDS33" s="551"/>
      <c r="DDT33" s="551"/>
      <c r="DDU33" s="551"/>
      <c r="DDV33" s="551"/>
      <c r="DDW33" s="551"/>
      <c r="DDX33" s="551"/>
      <c r="DDY33" s="551"/>
      <c r="DDZ33" s="551"/>
      <c r="DEA33" s="551"/>
      <c r="DEB33" s="551"/>
      <c r="DEC33" s="551"/>
      <c r="DED33" s="551"/>
      <c r="DEE33" s="551"/>
      <c r="DEF33" s="551"/>
      <c r="DEG33" s="551"/>
      <c r="DEH33" s="551"/>
      <c r="DEI33" s="551"/>
      <c r="DEJ33" s="551"/>
      <c r="DEK33" s="551"/>
      <c r="DEL33" s="551"/>
      <c r="DEM33" s="551"/>
      <c r="DEN33" s="551"/>
      <c r="DEO33" s="551"/>
      <c r="DEP33" s="551"/>
      <c r="DEQ33" s="551"/>
      <c r="DER33" s="551"/>
      <c r="DES33" s="551"/>
      <c r="DET33" s="551"/>
      <c r="DEU33" s="551"/>
      <c r="DEV33" s="551"/>
      <c r="DEW33" s="551"/>
      <c r="DEX33" s="551"/>
      <c r="DEY33" s="551"/>
      <c r="DEZ33" s="551"/>
      <c r="DFA33" s="551"/>
      <c r="DFB33" s="551"/>
      <c r="DFC33" s="551"/>
      <c r="DFD33" s="551"/>
      <c r="DFE33" s="551"/>
      <c r="DFF33" s="551"/>
      <c r="DFG33" s="551"/>
      <c r="DFH33" s="551"/>
      <c r="DFI33" s="551"/>
      <c r="DFJ33" s="551"/>
      <c r="DFK33" s="551"/>
      <c r="DFL33" s="551"/>
      <c r="DFM33" s="551"/>
      <c r="DFN33" s="551"/>
      <c r="DFO33" s="551"/>
      <c r="DFP33" s="551"/>
      <c r="DFQ33" s="551"/>
      <c r="DFR33" s="551"/>
      <c r="DFS33" s="551"/>
      <c r="DFT33" s="551"/>
      <c r="DFU33" s="551"/>
      <c r="DFV33" s="551"/>
      <c r="DFW33" s="551"/>
      <c r="DFX33" s="551"/>
      <c r="DFY33" s="551"/>
      <c r="DFZ33" s="551"/>
      <c r="DGA33" s="551"/>
      <c r="DGB33" s="551"/>
      <c r="DGC33" s="551"/>
      <c r="DGD33" s="551"/>
      <c r="DGE33" s="551"/>
      <c r="DGF33" s="551"/>
      <c r="DGG33" s="551"/>
      <c r="DGH33" s="551"/>
      <c r="DGI33" s="551"/>
      <c r="DGJ33" s="551"/>
      <c r="DGK33" s="551"/>
      <c r="DGL33" s="551"/>
      <c r="DGM33" s="551"/>
      <c r="DGN33" s="551"/>
      <c r="DGO33" s="551"/>
      <c r="DGP33" s="551"/>
      <c r="DGQ33" s="551"/>
      <c r="DGR33" s="551"/>
      <c r="DGS33" s="551"/>
      <c r="DGT33" s="551"/>
      <c r="DGU33" s="551"/>
      <c r="DGV33" s="551"/>
      <c r="DGW33" s="551"/>
      <c r="DGX33" s="551"/>
      <c r="DGY33" s="551"/>
      <c r="DGZ33" s="551"/>
      <c r="DHA33" s="551"/>
      <c r="DHB33" s="551"/>
      <c r="DHC33" s="551"/>
      <c r="DHD33" s="551"/>
      <c r="DHE33" s="551"/>
      <c r="DHF33" s="551"/>
      <c r="DHG33" s="551"/>
      <c r="DHH33" s="551"/>
      <c r="DHI33" s="551"/>
      <c r="DHJ33" s="551"/>
      <c r="DHK33" s="551"/>
      <c r="DHL33" s="551"/>
      <c r="DHM33" s="551"/>
      <c r="DHN33" s="551"/>
      <c r="DHO33" s="551"/>
      <c r="DHP33" s="551"/>
      <c r="DHQ33" s="551"/>
      <c r="DHR33" s="551"/>
      <c r="DHS33" s="551"/>
      <c r="DHT33" s="551"/>
      <c r="DHU33" s="551"/>
      <c r="DHV33" s="551"/>
      <c r="DHW33" s="551"/>
      <c r="DHX33" s="551"/>
      <c r="DHY33" s="551"/>
      <c r="DHZ33" s="551"/>
      <c r="DIA33" s="551"/>
      <c r="DIB33" s="551"/>
      <c r="DIC33" s="551"/>
      <c r="DID33" s="551"/>
      <c r="DIE33" s="551"/>
      <c r="DIF33" s="551"/>
      <c r="DIG33" s="551"/>
      <c r="DIH33" s="551"/>
      <c r="DII33" s="551"/>
      <c r="DIJ33" s="551"/>
      <c r="DIK33" s="551"/>
      <c r="DIL33" s="551"/>
      <c r="DIM33" s="551"/>
      <c r="DIN33" s="551"/>
      <c r="DIO33" s="551"/>
      <c r="DIP33" s="551"/>
      <c r="DIQ33" s="551"/>
      <c r="DIR33" s="551"/>
      <c r="DIS33" s="551"/>
      <c r="DIT33" s="551"/>
      <c r="DIU33" s="551"/>
      <c r="DIV33" s="551"/>
      <c r="DIW33" s="551"/>
      <c r="DIX33" s="551"/>
      <c r="DIY33" s="551"/>
      <c r="DIZ33" s="551"/>
      <c r="DJA33" s="551"/>
      <c r="DJB33" s="551"/>
      <c r="DJC33" s="551"/>
      <c r="DJD33" s="551"/>
      <c r="DJE33" s="551"/>
      <c r="DJF33" s="551"/>
      <c r="DJG33" s="551"/>
      <c r="DJH33" s="551"/>
      <c r="DJI33" s="551"/>
      <c r="DJJ33" s="551"/>
      <c r="DJK33" s="551"/>
      <c r="DJL33" s="551"/>
      <c r="DJM33" s="551"/>
      <c r="DJN33" s="551"/>
      <c r="DJO33" s="551"/>
      <c r="DJP33" s="551"/>
      <c r="DJQ33" s="551"/>
      <c r="DJR33" s="551"/>
      <c r="DJS33" s="551"/>
      <c r="DJT33" s="551"/>
      <c r="DJU33" s="551"/>
      <c r="DJV33" s="551"/>
      <c r="DJW33" s="551"/>
      <c r="DJX33" s="551"/>
      <c r="DJY33" s="551"/>
      <c r="DJZ33" s="551"/>
      <c r="DKA33" s="551"/>
      <c r="DKB33" s="551"/>
      <c r="DKC33" s="551"/>
      <c r="DKD33" s="551"/>
      <c r="DKE33" s="551"/>
      <c r="DKF33" s="551"/>
      <c r="DKG33" s="551"/>
      <c r="DKH33" s="551"/>
      <c r="DKI33" s="551"/>
      <c r="DKJ33" s="551"/>
      <c r="DKK33" s="551"/>
      <c r="DKL33" s="551"/>
      <c r="DKM33" s="551"/>
      <c r="DKN33" s="551"/>
      <c r="DKO33" s="551"/>
      <c r="DKP33" s="551"/>
      <c r="DKQ33" s="551"/>
      <c r="DKR33" s="551"/>
      <c r="DKS33" s="551"/>
      <c r="DKT33" s="551"/>
      <c r="DKU33" s="551"/>
      <c r="DKV33" s="551"/>
      <c r="DKW33" s="551"/>
      <c r="DKX33" s="551"/>
      <c r="DKY33" s="551"/>
      <c r="DKZ33" s="551"/>
      <c r="DLA33" s="551"/>
      <c r="DLB33" s="551"/>
      <c r="DLC33" s="551"/>
      <c r="DLD33" s="551"/>
      <c r="DLE33" s="551"/>
      <c r="DLF33" s="551"/>
      <c r="DLG33" s="551"/>
      <c r="DLH33" s="551"/>
      <c r="DLI33" s="551"/>
      <c r="DLJ33" s="551"/>
      <c r="DLK33" s="551"/>
      <c r="DLL33" s="551"/>
      <c r="DLM33" s="551"/>
      <c r="DLN33" s="551"/>
      <c r="DLO33" s="551"/>
      <c r="DLP33" s="551"/>
      <c r="DLQ33" s="551"/>
      <c r="DLR33" s="551"/>
      <c r="DLS33" s="551"/>
      <c r="DLT33" s="551"/>
      <c r="DLU33" s="551"/>
      <c r="DLV33" s="551"/>
      <c r="DLW33" s="551"/>
      <c r="DLX33" s="551"/>
      <c r="DLY33" s="551"/>
      <c r="DLZ33" s="551"/>
      <c r="DMA33" s="551"/>
      <c r="DMB33" s="551"/>
      <c r="DMC33" s="551"/>
      <c r="DMD33" s="551"/>
      <c r="DME33" s="551"/>
      <c r="DMF33" s="551"/>
      <c r="DMG33" s="551"/>
      <c r="DMH33" s="551"/>
      <c r="DMI33" s="551"/>
      <c r="DMJ33" s="551"/>
      <c r="DMK33" s="551"/>
      <c r="DML33" s="551"/>
      <c r="DMM33" s="551"/>
      <c r="DMN33" s="551"/>
      <c r="DMO33" s="551"/>
      <c r="DMP33" s="551"/>
      <c r="DMQ33" s="551"/>
      <c r="DMR33" s="551"/>
      <c r="DMS33" s="551"/>
      <c r="DMT33" s="551"/>
      <c r="DMU33" s="551"/>
      <c r="DMV33" s="551"/>
      <c r="DMW33" s="551"/>
      <c r="DMX33" s="551"/>
      <c r="DMY33" s="551"/>
      <c r="DMZ33" s="551"/>
      <c r="DNA33" s="551"/>
      <c r="DNB33" s="551"/>
      <c r="DNC33" s="551"/>
      <c r="DND33" s="551"/>
      <c r="DNE33" s="551"/>
      <c r="DNF33" s="551"/>
      <c r="DNG33" s="551"/>
      <c r="DNH33" s="551"/>
      <c r="DNI33" s="551"/>
      <c r="DNJ33" s="551"/>
      <c r="DNK33" s="551"/>
      <c r="DNL33" s="551"/>
      <c r="DNM33" s="551"/>
      <c r="DNN33" s="551"/>
      <c r="DNO33" s="551"/>
      <c r="DNP33" s="551"/>
      <c r="DNQ33" s="551"/>
      <c r="DNR33" s="551"/>
      <c r="DNS33" s="551"/>
      <c r="DNT33" s="551"/>
      <c r="DNU33" s="551"/>
      <c r="DNV33" s="551"/>
      <c r="DNW33" s="551"/>
      <c r="DNX33" s="551"/>
      <c r="DNY33" s="551"/>
      <c r="DNZ33" s="551"/>
      <c r="DOA33" s="551"/>
      <c r="DOB33" s="551"/>
      <c r="DOC33" s="551"/>
      <c r="DOD33" s="551"/>
      <c r="DOE33" s="551"/>
      <c r="DOF33" s="551"/>
      <c r="DOG33" s="551"/>
      <c r="DOH33" s="551"/>
      <c r="DOI33" s="551"/>
      <c r="DOJ33" s="551"/>
      <c r="DOK33" s="551"/>
      <c r="DOL33" s="551"/>
      <c r="DOM33" s="551"/>
      <c r="DON33" s="551"/>
      <c r="DOO33" s="551"/>
      <c r="DOP33" s="551"/>
      <c r="DOQ33" s="551"/>
      <c r="DOR33" s="551"/>
      <c r="DOS33" s="551"/>
      <c r="DOT33" s="551"/>
      <c r="DOU33" s="551"/>
      <c r="DOV33" s="551"/>
      <c r="DOW33" s="551"/>
      <c r="DOX33" s="551"/>
      <c r="DOY33" s="551"/>
      <c r="DOZ33" s="551"/>
      <c r="DPA33" s="551"/>
      <c r="DPB33" s="551"/>
      <c r="DPC33" s="551"/>
      <c r="DPD33" s="551"/>
      <c r="DPE33" s="551"/>
      <c r="DPF33" s="551"/>
      <c r="DPG33" s="551"/>
      <c r="DPH33" s="551"/>
      <c r="DPI33" s="551"/>
      <c r="DPJ33" s="551"/>
      <c r="DPK33" s="551"/>
      <c r="DPL33" s="551"/>
      <c r="DPM33" s="551"/>
      <c r="DPN33" s="551"/>
      <c r="DPO33" s="551"/>
      <c r="DPP33" s="551"/>
      <c r="DPQ33" s="551"/>
      <c r="DPR33" s="551"/>
      <c r="DPS33" s="551"/>
      <c r="DPT33" s="551"/>
      <c r="DPU33" s="551"/>
      <c r="DPV33" s="551"/>
      <c r="DPW33" s="551"/>
      <c r="DPX33" s="551"/>
      <c r="DPY33" s="551"/>
      <c r="DPZ33" s="551"/>
      <c r="DQA33" s="551"/>
      <c r="DQB33" s="551"/>
      <c r="DQC33" s="551"/>
      <c r="DQD33" s="551"/>
      <c r="DQE33" s="551"/>
      <c r="DQF33" s="551"/>
      <c r="DQG33" s="551"/>
      <c r="DQH33" s="551"/>
      <c r="DQI33" s="551"/>
      <c r="DQJ33" s="551"/>
      <c r="DQK33" s="551"/>
      <c r="DQL33" s="551"/>
      <c r="DQM33" s="551"/>
      <c r="DQN33" s="551"/>
      <c r="DQO33" s="551"/>
      <c r="DQP33" s="551"/>
      <c r="DQQ33" s="551"/>
      <c r="DQR33" s="551"/>
      <c r="DQS33" s="551"/>
      <c r="DQT33" s="551"/>
      <c r="DQU33" s="551"/>
      <c r="DQV33" s="551"/>
      <c r="DQW33" s="551"/>
      <c r="DQX33" s="551"/>
      <c r="DQY33" s="551"/>
      <c r="DQZ33" s="551"/>
      <c r="DRA33" s="551"/>
      <c r="DRB33" s="551"/>
      <c r="DRC33" s="551"/>
      <c r="DRD33" s="551"/>
      <c r="DRE33" s="551"/>
      <c r="DRF33" s="551"/>
      <c r="DRG33" s="551"/>
      <c r="DRH33" s="551"/>
      <c r="DRI33" s="551"/>
      <c r="DRJ33" s="551"/>
      <c r="DRK33" s="551"/>
      <c r="DRL33" s="551"/>
      <c r="DRM33" s="551"/>
      <c r="DRN33" s="551"/>
      <c r="DRO33" s="551"/>
      <c r="DRP33" s="551"/>
      <c r="DRQ33" s="551"/>
      <c r="DRR33" s="551"/>
      <c r="DRS33" s="551"/>
      <c r="DRT33" s="551"/>
      <c r="DRU33" s="551"/>
      <c r="DRV33" s="551"/>
      <c r="DRW33" s="551"/>
      <c r="DRX33" s="551"/>
      <c r="DRY33" s="551"/>
      <c r="DRZ33" s="551"/>
      <c r="DSA33" s="551"/>
      <c r="DSB33" s="551"/>
      <c r="DSC33" s="551"/>
      <c r="DSD33" s="551"/>
      <c r="DSE33" s="551"/>
      <c r="DSF33" s="551"/>
      <c r="DSG33" s="551"/>
      <c r="DSH33" s="551"/>
      <c r="DSI33" s="551"/>
      <c r="DSJ33" s="551"/>
      <c r="DSK33" s="551"/>
      <c r="DSL33" s="551"/>
      <c r="DSM33" s="551"/>
      <c r="DSN33" s="551"/>
      <c r="DSO33" s="551"/>
      <c r="DSP33" s="551"/>
      <c r="DSQ33" s="551"/>
      <c r="DSR33" s="551"/>
      <c r="DSS33" s="551"/>
      <c r="DST33" s="551"/>
      <c r="DSU33" s="551"/>
      <c r="DSV33" s="551"/>
      <c r="DSW33" s="551"/>
      <c r="DSX33" s="551"/>
      <c r="DSY33" s="551"/>
      <c r="DSZ33" s="551"/>
      <c r="DTA33" s="551"/>
      <c r="DTB33" s="551"/>
      <c r="DTC33" s="551"/>
      <c r="DTD33" s="551"/>
      <c r="DTE33" s="551"/>
      <c r="DTF33" s="551"/>
      <c r="DTG33" s="551"/>
      <c r="DTH33" s="551"/>
      <c r="DTI33" s="551"/>
      <c r="DTJ33" s="551"/>
      <c r="DTK33" s="551"/>
      <c r="DTL33" s="551"/>
      <c r="DTM33" s="551"/>
      <c r="DTN33" s="551"/>
      <c r="DTO33" s="551"/>
      <c r="DTP33" s="551"/>
      <c r="DTQ33" s="551"/>
      <c r="DTR33" s="551"/>
      <c r="DTS33" s="551"/>
      <c r="DTT33" s="551"/>
      <c r="DTU33" s="551"/>
      <c r="DTV33" s="551"/>
      <c r="DTW33" s="551"/>
      <c r="DTX33" s="551"/>
      <c r="DTY33" s="551"/>
      <c r="DTZ33" s="551"/>
      <c r="DUA33" s="551"/>
      <c r="DUB33" s="551"/>
      <c r="DUC33" s="551"/>
      <c r="DUD33" s="551"/>
      <c r="DUE33" s="551"/>
      <c r="DUF33" s="551"/>
      <c r="DUG33" s="551"/>
      <c r="DUH33" s="551"/>
      <c r="DUI33" s="551"/>
      <c r="DUJ33" s="551"/>
      <c r="DUK33" s="551"/>
      <c r="DUL33" s="551"/>
      <c r="DUM33" s="551"/>
      <c r="DUN33" s="551"/>
      <c r="DUO33" s="551"/>
      <c r="DUP33" s="551"/>
      <c r="DUQ33" s="551"/>
      <c r="DUR33" s="551"/>
      <c r="DUS33" s="551"/>
      <c r="DUT33" s="551"/>
      <c r="DUU33" s="551"/>
      <c r="DUV33" s="551"/>
      <c r="DUW33" s="551"/>
      <c r="DUX33" s="551"/>
      <c r="DUY33" s="551"/>
      <c r="DUZ33" s="551"/>
      <c r="DVA33" s="551"/>
      <c r="DVB33" s="551"/>
      <c r="DVC33" s="551"/>
      <c r="DVD33" s="551"/>
      <c r="DVE33" s="551"/>
      <c r="DVF33" s="551"/>
      <c r="DVG33" s="551"/>
      <c r="DVH33" s="551"/>
      <c r="DVI33" s="551"/>
      <c r="DVJ33" s="551"/>
      <c r="DVK33" s="551"/>
      <c r="DVL33" s="551"/>
      <c r="DVM33" s="551"/>
      <c r="DVN33" s="551"/>
      <c r="DVO33" s="551"/>
      <c r="DVP33" s="551"/>
      <c r="DVQ33" s="551"/>
      <c r="DVR33" s="551"/>
      <c r="DVS33" s="551"/>
      <c r="DVT33" s="551"/>
      <c r="DVU33" s="551"/>
      <c r="DVV33" s="551"/>
      <c r="DVW33" s="551"/>
      <c r="DVX33" s="551"/>
      <c r="DVY33" s="551"/>
      <c r="DVZ33" s="551"/>
      <c r="DWA33" s="551"/>
      <c r="DWB33" s="551"/>
      <c r="DWC33" s="551"/>
      <c r="DWD33" s="551"/>
      <c r="DWE33" s="551"/>
      <c r="DWF33" s="551"/>
      <c r="DWG33" s="551"/>
      <c r="DWH33" s="551"/>
      <c r="DWI33" s="551"/>
      <c r="DWJ33" s="551"/>
      <c r="DWK33" s="551"/>
      <c r="DWL33" s="551"/>
      <c r="DWM33" s="551"/>
      <c r="DWN33" s="551"/>
      <c r="DWO33" s="551"/>
      <c r="DWP33" s="551"/>
      <c r="DWQ33" s="551"/>
      <c r="DWR33" s="551"/>
      <c r="DWS33" s="551"/>
      <c r="DWT33" s="551"/>
      <c r="DWU33" s="551"/>
      <c r="DWV33" s="551"/>
      <c r="DWW33" s="551"/>
      <c r="DWX33" s="551"/>
      <c r="DWY33" s="551"/>
      <c r="DWZ33" s="551"/>
      <c r="DXA33" s="551"/>
      <c r="DXB33" s="551"/>
      <c r="DXC33" s="551"/>
      <c r="DXD33" s="551"/>
      <c r="DXE33" s="551"/>
      <c r="DXF33" s="551"/>
      <c r="DXG33" s="551"/>
      <c r="DXH33" s="551"/>
      <c r="DXI33" s="551"/>
      <c r="DXJ33" s="551"/>
      <c r="DXK33" s="551"/>
      <c r="DXL33" s="551"/>
      <c r="DXM33" s="551"/>
      <c r="DXN33" s="551"/>
      <c r="DXO33" s="551"/>
      <c r="DXP33" s="551"/>
      <c r="DXQ33" s="551"/>
      <c r="DXR33" s="551"/>
      <c r="DXS33" s="551"/>
      <c r="DXT33" s="551"/>
      <c r="DXU33" s="551"/>
      <c r="DXV33" s="551"/>
      <c r="DXW33" s="551"/>
      <c r="DXX33" s="551"/>
      <c r="DXY33" s="551"/>
      <c r="DXZ33" s="551"/>
      <c r="DYA33" s="551"/>
      <c r="DYB33" s="551"/>
      <c r="DYC33" s="551"/>
      <c r="DYD33" s="551"/>
      <c r="DYE33" s="551"/>
      <c r="DYF33" s="551"/>
      <c r="DYG33" s="551"/>
      <c r="DYH33" s="551"/>
      <c r="DYI33" s="551"/>
      <c r="DYJ33" s="551"/>
      <c r="DYK33" s="551"/>
      <c r="DYL33" s="551"/>
      <c r="DYM33" s="551"/>
      <c r="DYN33" s="551"/>
      <c r="DYO33" s="551"/>
      <c r="DYP33" s="551"/>
      <c r="DYQ33" s="551"/>
      <c r="DYR33" s="551"/>
      <c r="DYS33" s="551"/>
      <c r="DYT33" s="551"/>
      <c r="DYU33" s="551"/>
      <c r="DYV33" s="551"/>
      <c r="DYW33" s="551"/>
      <c r="DYX33" s="551"/>
      <c r="DYY33" s="551"/>
      <c r="DYZ33" s="551"/>
      <c r="DZA33" s="551"/>
      <c r="DZB33" s="551"/>
      <c r="DZC33" s="551"/>
      <c r="DZD33" s="551"/>
      <c r="DZE33" s="551"/>
      <c r="DZF33" s="551"/>
      <c r="DZG33" s="551"/>
      <c r="DZH33" s="551"/>
      <c r="DZI33" s="551"/>
      <c r="DZJ33" s="551"/>
      <c r="DZK33" s="551"/>
      <c r="DZL33" s="551"/>
      <c r="DZM33" s="551"/>
      <c r="DZN33" s="551"/>
      <c r="DZO33" s="551"/>
      <c r="DZP33" s="551"/>
      <c r="DZQ33" s="551"/>
      <c r="DZR33" s="551"/>
      <c r="DZS33" s="551"/>
      <c r="DZT33" s="551"/>
      <c r="DZU33" s="551"/>
      <c r="DZV33" s="551"/>
      <c r="DZW33" s="551"/>
      <c r="DZX33" s="551"/>
      <c r="DZY33" s="551"/>
      <c r="DZZ33" s="551"/>
      <c r="EAA33" s="551"/>
      <c r="EAB33" s="551"/>
      <c r="EAC33" s="551"/>
      <c r="EAD33" s="551"/>
      <c r="EAE33" s="551"/>
      <c r="EAF33" s="551"/>
      <c r="EAG33" s="551"/>
      <c r="EAH33" s="551"/>
      <c r="EAI33" s="551"/>
      <c r="EAJ33" s="551"/>
      <c r="EAK33" s="551"/>
      <c r="EAL33" s="551"/>
      <c r="EAM33" s="551"/>
      <c r="EAN33" s="551"/>
      <c r="EAO33" s="551"/>
      <c r="EAP33" s="551"/>
      <c r="EAQ33" s="551"/>
      <c r="EAR33" s="551"/>
      <c r="EAS33" s="551"/>
      <c r="EAT33" s="551"/>
      <c r="EAU33" s="551"/>
      <c r="EAV33" s="551"/>
      <c r="EAW33" s="551"/>
      <c r="EAX33" s="551"/>
      <c r="EAY33" s="551"/>
      <c r="EAZ33" s="551"/>
      <c r="EBA33" s="551"/>
      <c r="EBB33" s="551"/>
      <c r="EBC33" s="551"/>
      <c r="EBD33" s="551"/>
      <c r="EBE33" s="551"/>
      <c r="EBF33" s="551"/>
      <c r="EBG33" s="551"/>
      <c r="EBH33" s="551"/>
      <c r="EBI33" s="551"/>
      <c r="EBJ33" s="551"/>
      <c r="EBK33" s="551"/>
      <c r="EBL33" s="551"/>
      <c r="EBM33" s="551"/>
      <c r="EBN33" s="551"/>
      <c r="EBO33" s="551"/>
      <c r="EBP33" s="551"/>
      <c r="EBQ33" s="551"/>
      <c r="EBR33" s="551"/>
      <c r="EBS33" s="551"/>
      <c r="EBT33" s="551"/>
      <c r="EBU33" s="551"/>
      <c r="EBV33" s="551"/>
      <c r="EBW33" s="551"/>
      <c r="EBX33" s="551"/>
      <c r="EBY33" s="551"/>
      <c r="EBZ33" s="551"/>
      <c r="ECA33" s="551"/>
      <c r="ECB33" s="551"/>
      <c r="ECC33" s="551"/>
      <c r="ECD33" s="551"/>
      <c r="ECE33" s="551"/>
      <c r="ECF33" s="551"/>
      <c r="ECG33" s="551"/>
      <c r="ECH33" s="551"/>
      <c r="ECI33" s="551"/>
      <c r="ECJ33" s="551"/>
      <c r="ECK33" s="551"/>
      <c r="ECL33" s="551"/>
      <c r="ECM33" s="551"/>
      <c r="ECN33" s="551"/>
      <c r="ECO33" s="551"/>
      <c r="ECP33" s="551"/>
      <c r="ECQ33" s="551"/>
      <c r="ECR33" s="551"/>
      <c r="ECS33" s="551"/>
      <c r="ECT33" s="551"/>
      <c r="ECU33" s="551"/>
      <c r="ECV33" s="551"/>
      <c r="ECW33" s="551"/>
      <c r="ECX33" s="551"/>
      <c r="ECY33" s="551"/>
      <c r="ECZ33" s="551"/>
      <c r="EDA33" s="551"/>
      <c r="EDB33" s="551"/>
      <c r="EDC33" s="551"/>
      <c r="EDD33" s="551"/>
      <c r="EDE33" s="551"/>
      <c r="EDF33" s="551"/>
      <c r="EDG33" s="551"/>
      <c r="EDH33" s="551"/>
      <c r="EDI33" s="551"/>
      <c r="EDJ33" s="551"/>
      <c r="EDK33" s="551"/>
      <c r="EDL33" s="551"/>
      <c r="EDM33" s="551"/>
      <c r="EDN33" s="551"/>
      <c r="EDO33" s="551"/>
      <c r="EDP33" s="551"/>
      <c r="EDQ33" s="551"/>
      <c r="EDR33" s="551"/>
      <c r="EDS33" s="551"/>
      <c r="EDT33" s="551"/>
      <c r="EDU33" s="551"/>
      <c r="EDV33" s="551"/>
      <c r="EDW33" s="551"/>
      <c r="EDX33" s="551"/>
      <c r="EDY33" s="551"/>
      <c r="EDZ33" s="551"/>
      <c r="EEA33" s="551"/>
      <c r="EEB33" s="551"/>
      <c r="EEC33" s="551"/>
      <c r="EED33" s="551"/>
      <c r="EEE33" s="551"/>
      <c r="EEF33" s="551"/>
      <c r="EEG33" s="551"/>
      <c r="EEH33" s="551"/>
      <c r="EEI33" s="551"/>
      <c r="EEJ33" s="551"/>
      <c r="EEK33" s="551"/>
      <c r="EEL33" s="551"/>
      <c r="EEM33" s="551"/>
      <c r="EEN33" s="551"/>
      <c r="EEO33" s="551"/>
      <c r="EEP33" s="551"/>
      <c r="EEQ33" s="551"/>
      <c r="EER33" s="551"/>
      <c r="EES33" s="551"/>
      <c r="EET33" s="551"/>
      <c r="EEU33" s="551"/>
      <c r="EEV33" s="551"/>
      <c r="EEW33" s="551"/>
      <c r="EEX33" s="551"/>
      <c r="EEY33" s="551"/>
      <c r="EEZ33" s="551"/>
      <c r="EFA33" s="551"/>
      <c r="EFB33" s="551"/>
      <c r="EFC33" s="551"/>
      <c r="EFD33" s="551"/>
      <c r="EFE33" s="551"/>
      <c r="EFF33" s="551"/>
      <c r="EFG33" s="551"/>
      <c r="EFH33" s="551"/>
      <c r="EFI33" s="551"/>
      <c r="EFJ33" s="551"/>
      <c r="EFK33" s="551"/>
      <c r="EFL33" s="551"/>
      <c r="EFM33" s="551"/>
      <c r="EFN33" s="551"/>
      <c r="EFO33" s="551"/>
      <c r="EFP33" s="551"/>
      <c r="EFQ33" s="551"/>
      <c r="EFR33" s="551"/>
      <c r="EFS33" s="551"/>
      <c r="EFT33" s="551"/>
      <c r="EFU33" s="551"/>
      <c r="EFV33" s="551"/>
      <c r="EFW33" s="551"/>
      <c r="EFX33" s="551"/>
      <c r="EFY33" s="551"/>
      <c r="EFZ33" s="551"/>
      <c r="EGA33" s="551"/>
      <c r="EGB33" s="551"/>
      <c r="EGC33" s="551"/>
      <c r="EGD33" s="551"/>
      <c r="EGE33" s="551"/>
      <c r="EGF33" s="551"/>
      <c r="EGG33" s="551"/>
      <c r="EGH33" s="551"/>
      <c r="EGI33" s="551"/>
      <c r="EGJ33" s="551"/>
      <c r="EGK33" s="551"/>
      <c r="EGL33" s="551"/>
      <c r="EGM33" s="551"/>
      <c r="EGN33" s="551"/>
      <c r="EGO33" s="551"/>
      <c r="EGP33" s="551"/>
      <c r="EGQ33" s="551"/>
      <c r="EGR33" s="551"/>
      <c r="EGS33" s="551"/>
      <c r="EGT33" s="551"/>
      <c r="EGU33" s="551"/>
      <c r="EGV33" s="551"/>
      <c r="EGW33" s="551"/>
      <c r="EGX33" s="551"/>
      <c r="EGY33" s="551"/>
      <c r="EGZ33" s="551"/>
      <c r="EHA33" s="551"/>
      <c r="EHB33" s="551"/>
      <c r="EHC33" s="551"/>
      <c r="EHD33" s="551"/>
      <c r="EHE33" s="551"/>
      <c r="EHF33" s="551"/>
      <c r="EHG33" s="551"/>
      <c r="EHH33" s="551"/>
      <c r="EHI33" s="551"/>
      <c r="EHJ33" s="551"/>
      <c r="EHK33" s="551"/>
      <c r="EHL33" s="551"/>
      <c r="EHM33" s="551"/>
      <c r="EHN33" s="551"/>
      <c r="EHO33" s="551"/>
      <c r="EHP33" s="551"/>
      <c r="EHQ33" s="551"/>
      <c r="EHR33" s="551"/>
      <c r="EHS33" s="551"/>
      <c r="EHT33" s="551"/>
      <c r="EHU33" s="551"/>
      <c r="EHV33" s="551"/>
      <c r="EHW33" s="551"/>
      <c r="EHX33" s="551"/>
      <c r="EHY33" s="551"/>
      <c r="EHZ33" s="551"/>
      <c r="EIA33" s="551"/>
      <c r="EIB33" s="551"/>
      <c r="EIC33" s="551"/>
      <c r="EID33" s="551"/>
      <c r="EIE33" s="551"/>
      <c r="EIF33" s="551"/>
      <c r="EIG33" s="551"/>
      <c r="EIH33" s="551"/>
      <c r="EII33" s="551"/>
      <c r="EIJ33" s="551"/>
      <c r="EIK33" s="551"/>
      <c r="EIL33" s="551"/>
      <c r="EIM33" s="551"/>
      <c r="EIN33" s="551"/>
      <c r="EIO33" s="551"/>
      <c r="EIP33" s="551"/>
      <c r="EIQ33" s="551"/>
      <c r="EIR33" s="551"/>
      <c r="EIS33" s="551"/>
      <c r="EIT33" s="551"/>
      <c r="EIU33" s="551"/>
      <c r="EIV33" s="551"/>
      <c r="EIW33" s="551"/>
      <c r="EIX33" s="551"/>
      <c r="EIY33" s="551"/>
      <c r="EIZ33" s="551"/>
      <c r="EJA33" s="551"/>
      <c r="EJB33" s="551"/>
      <c r="EJC33" s="551"/>
      <c r="EJD33" s="551"/>
      <c r="EJE33" s="551"/>
      <c r="EJF33" s="551"/>
      <c r="EJG33" s="551"/>
      <c r="EJH33" s="551"/>
      <c r="EJI33" s="551"/>
      <c r="EJJ33" s="551"/>
      <c r="EJK33" s="551"/>
      <c r="EJL33" s="551"/>
      <c r="EJM33" s="551"/>
      <c r="EJN33" s="551"/>
      <c r="EJO33" s="551"/>
      <c r="EJP33" s="551"/>
      <c r="EJQ33" s="551"/>
      <c r="EJR33" s="551"/>
      <c r="EJS33" s="551"/>
      <c r="EJT33" s="551"/>
      <c r="EJU33" s="551"/>
      <c r="EJV33" s="551"/>
      <c r="EJW33" s="551"/>
      <c r="EJX33" s="551"/>
      <c r="EJY33" s="551"/>
      <c r="EJZ33" s="551"/>
      <c r="EKA33" s="551"/>
      <c r="EKB33" s="551"/>
      <c r="EKC33" s="551"/>
      <c r="EKD33" s="551"/>
      <c r="EKE33" s="551"/>
      <c r="EKF33" s="551"/>
      <c r="EKG33" s="551"/>
      <c r="EKH33" s="551"/>
      <c r="EKI33" s="551"/>
      <c r="EKJ33" s="551"/>
      <c r="EKK33" s="551"/>
      <c r="EKL33" s="551"/>
      <c r="EKM33" s="551"/>
      <c r="EKN33" s="551"/>
      <c r="EKO33" s="551"/>
      <c r="EKP33" s="551"/>
      <c r="EKQ33" s="551"/>
      <c r="EKR33" s="551"/>
      <c r="EKS33" s="551"/>
      <c r="EKT33" s="551"/>
      <c r="EKU33" s="551"/>
      <c r="EKV33" s="551"/>
      <c r="EKW33" s="551"/>
      <c r="EKX33" s="551"/>
      <c r="EKY33" s="551"/>
      <c r="EKZ33" s="551"/>
      <c r="ELA33" s="551"/>
      <c r="ELB33" s="551"/>
      <c r="ELC33" s="551"/>
      <c r="ELD33" s="551"/>
      <c r="ELE33" s="551"/>
      <c r="ELF33" s="551"/>
      <c r="ELG33" s="551"/>
      <c r="ELH33" s="551"/>
      <c r="ELI33" s="551"/>
      <c r="ELJ33" s="551"/>
      <c r="ELK33" s="551"/>
      <c r="ELL33" s="551"/>
      <c r="ELM33" s="551"/>
      <c r="ELN33" s="551"/>
      <c r="ELO33" s="551"/>
      <c r="ELP33" s="551"/>
      <c r="ELQ33" s="551"/>
      <c r="ELR33" s="551"/>
      <c r="ELS33" s="551"/>
      <c r="ELT33" s="551"/>
      <c r="ELU33" s="551"/>
      <c r="ELV33" s="551"/>
      <c r="ELW33" s="551"/>
      <c r="ELX33" s="551"/>
      <c r="ELY33" s="551"/>
      <c r="ELZ33" s="551"/>
      <c r="EMA33" s="551"/>
      <c r="EMB33" s="551"/>
      <c r="EMC33" s="551"/>
      <c r="EMD33" s="551"/>
      <c r="EME33" s="551"/>
      <c r="EMF33" s="551"/>
      <c r="EMG33" s="551"/>
      <c r="EMH33" s="551"/>
      <c r="EMI33" s="551"/>
      <c r="EMJ33" s="551"/>
      <c r="EMK33" s="551"/>
      <c r="EML33" s="551"/>
      <c r="EMM33" s="551"/>
      <c r="EMN33" s="551"/>
      <c r="EMO33" s="551"/>
      <c r="EMP33" s="551"/>
      <c r="EMQ33" s="551"/>
      <c r="EMR33" s="551"/>
      <c r="EMS33" s="551"/>
      <c r="EMT33" s="551"/>
      <c r="EMU33" s="551"/>
      <c r="EMV33" s="551"/>
      <c r="EMW33" s="551"/>
      <c r="EMX33" s="551"/>
      <c r="EMY33" s="551"/>
      <c r="EMZ33" s="551"/>
      <c r="ENA33" s="551"/>
      <c r="ENB33" s="551"/>
      <c r="ENC33" s="551"/>
      <c r="END33" s="551"/>
      <c r="ENE33" s="551"/>
      <c r="ENF33" s="551"/>
      <c r="ENG33" s="551"/>
      <c r="ENH33" s="551"/>
      <c r="ENI33" s="551"/>
      <c r="ENJ33" s="551"/>
      <c r="ENK33" s="551"/>
      <c r="ENL33" s="551"/>
      <c r="ENM33" s="551"/>
      <c r="ENN33" s="551"/>
      <c r="ENO33" s="551"/>
      <c r="ENP33" s="551"/>
      <c r="ENQ33" s="551"/>
      <c r="ENR33" s="551"/>
      <c r="ENS33" s="551"/>
      <c r="ENT33" s="551"/>
      <c r="ENU33" s="551"/>
      <c r="ENV33" s="551"/>
      <c r="ENW33" s="551"/>
      <c r="ENX33" s="551"/>
      <c r="ENY33" s="551"/>
      <c r="ENZ33" s="551"/>
      <c r="EOA33" s="551"/>
      <c r="EOB33" s="551"/>
      <c r="EOC33" s="551"/>
      <c r="EOD33" s="551"/>
      <c r="EOE33" s="551"/>
      <c r="EOF33" s="551"/>
      <c r="EOG33" s="551"/>
      <c r="EOH33" s="551"/>
      <c r="EOI33" s="551"/>
      <c r="EOJ33" s="551"/>
      <c r="EOK33" s="551"/>
      <c r="EOL33" s="551"/>
      <c r="EOM33" s="551"/>
      <c r="EON33" s="551"/>
      <c r="EOO33" s="551"/>
      <c r="EOP33" s="551"/>
      <c r="EOQ33" s="551"/>
      <c r="EOR33" s="551"/>
      <c r="EOS33" s="551"/>
      <c r="EOT33" s="551"/>
      <c r="EOU33" s="551"/>
      <c r="EOV33" s="551"/>
      <c r="EOW33" s="551"/>
      <c r="EOX33" s="551"/>
      <c r="EOY33" s="551"/>
      <c r="EOZ33" s="551"/>
      <c r="EPA33" s="551"/>
      <c r="EPB33" s="551"/>
      <c r="EPC33" s="551"/>
      <c r="EPD33" s="551"/>
      <c r="EPE33" s="551"/>
      <c r="EPF33" s="551"/>
      <c r="EPG33" s="551"/>
      <c r="EPH33" s="551"/>
      <c r="EPI33" s="551"/>
      <c r="EPJ33" s="551"/>
      <c r="EPK33" s="551"/>
      <c r="EPL33" s="551"/>
      <c r="EPM33" s="551"/>
      <c r="EPN33" s="551"/>
      <c r="EPO33" s="551"/>
      <c r="EPP33" s="551"/>
      <c r="EPQ33" s="551"/>
      <c r="EPR33" s="551"/>
      <c r="EPS33" s="551"/>
      <c r="EPT33" s="551"/>
      <c r="EPU33" s="551"/>
      <c r="EPV33" s="551"/>
      <c r="EPW33" s="551"/>
      <c r="EPX33" s="551"/>
      <c r="EPY33" s="551"/>
      <c r="EPZ33" s="551"/>
      <c r="EQA33" s="551"/>
      <c r="EQB33" s="551"/>
      <c r="EQC33" s="551"/>
      <c r="EQD33" s="551"/>
      <c r="EQE33" s="551"/>
      <c r="EQF33" s="551"/>
      <c r="EQG33" s="551"/>
      <c r="EQH33" s="551"/>
      <c r="EQI33" s="551"/>
      <c r="EQJ33" s="551"/>
      <c r="EQK33" s="551"/>
      <c r="EQL33" s="551"/>
      <c r="EQM33" s="551"/>
      <c r="EQN33" s="551"/>
      <c r="EQO33" s="551"/>
      <c r="EQP33" s="551"/>
      <c r="EQQ33" s="551"/>
      <c r="EQR33" s="551"/>
      <c r="EQS33" s="551"/>
      <c r="EQT33" s="551"/>
      <c r="EQU33" s="551"/>
      <c r="EQV33" s="551"/>
      <c r="EQW33" s="551"/>
      <c r="EQX33" s="551"/>
      <c r="EQY33" s="551"/>
      <c r="EQZ33" s="551"/>
      <c r="ERA33" s="551"/>
      <c r="ERB33" s="551"/>
      <c r="ERC33" s="551"/>
      <c r="ERD33" s="551"/>
      <c r="ERE33" s="551"/>
      <c r="ERF33" s="551"/>
      <c r="ERG33" s="551"/>
      <c r="ERH33" s="551"/>
      <c r="ERI33" s="551"/>
      <c r="ERJ33" s="551"/>
      <c r="ERK33" s="551"/>
      <c r="ERL33" s="551"/>
      <c r="ERM33" s="551"/>
      <c r="ERN33" s="551"/>
      <c r="ERO33" s="551"/>
      <c r="ERP33" s="551"/>
      <c r="ERQ33" s="551"/>
      <c r="ERR33" s="551"/>
      <c r="ERS33" s="551"/>
      <c r="ERT33" s="551"/>
      <c r="ERU33" s="551"/>
      <c r="ERV33" s="551"/>
      <c r="ERW33" s="551"/>
      <c r="ERX33" s="551"/>
      <c r="ERY33" s="551"/>
      <c r="ERZ33" s="551"/>
      <c r="ESA33" s="551"/>
      <c r="ESB33" s="551"/>
      <c r="ESC33" s="551"/>
      <c r="ESD33" s="551"/>
      <c r="ESE33" s="551"/>
      <c r="ESF33" s="551"/>
      <c r="ESG33" s="551"/>
      <c r="ESH33" s="551"/>
      <c r="ESI33" s="551"/>
      <c r="ESJ33" s="551"/>
      <c r="ESK33" s="551"/>
      <c r="ESL33" s="551"/>
      <c r="ESM33" s="551"/>
      <c r="ESN33" s="551"/>
      <c r="ESO33" s="551"/>
      <c r="ESP33" s="551"/>
      <c r="ESQ33" s="551"/>
      <c r="ESR33" s="551"/>
      <c r="ESS33" s="551"/>
      <c r="EST33" s="551"/>
      <c r="ESU33" s="551"/>
      <c r="ESV33" s="551"/>
      <c r="ESW33" s="551"/>
      <c r="ESX33" s="551"/>
      <c r="ESY33" s="551"/>
      <c r="ESZ33" s="551"/>
      <c r="ETA33" s="551"/>
      <c r="ETB33" s="551"/>
      <c r="ETC33" s="551"/>
      <c r="ETD33" s="551"/>
      <c r="ETE33" s="551"/>
      <c r="ETF33" s="551"/>
      <c r="ETG33" s="551"/>
      <c r="ETH33" s="551"/>
      <c r="ETI33" s="551"/>
      <c r="ETJ33" s="551"/>
      <c r="ETK33" s="551"/>
      <c r="ETL33" s="551"/>
      <c r="ETM33" s="551"/>
      <c r="ETN33" s="551"/>
      <c r="ETO33" s="551"/>
      <c r="ETP33" s="551"/>
      <c r="ETQ33" s="551"/>
      <c r="ETR33" s="551"/>
      <c r="ETS33" s="551"/>
      <c r="ETT33" s="551"/>
      <c r="ETU33" s="551"/>
      <c r="ETV33" s="551"/>
      <c r="ETW33" s="551"/>
      <c r="ETX33" s="551"/>
      <c r="ETY33" s="551"/>
      <c r="ETZ33" s="551"/>
      <c r="EUA33" s="551"/>
      <c r="EUB33" s="551"/>
      <c r="EUC33" s="551"/>
      <c r="EUD33" s="551"/>
      <c r="EUE33" s="551"/>
      <c r="EUF33" s="551"/>
      <c r="EUG33" s="551"/>
      <c r="EUH33" s="551"/>
      <c r="EUI33" s="551"/>
      <c r="EUJ33" s="551"/>
      <c r="EUK33" s="551"/>
      <c r="EUL33" s="551"/>
      <c r="EUM33" s="551"/>
      <c r="EUN33" s="551"/>
      <c r="EUO33" s="551"/>
      <c r="EUP33" s="551"/>
      <c r="EUQ33" s="551"/>
      <c r="EUR33" s="551"/>
      <c r="EUS33" s="551"/>
      <c r="EUT33" s="551"/>
      <c r="EUU33" s="551"/>
      <c r="EUV33" s="551"/>
      <c r="EUW33" s="551"/>
      <c r="EUX33" s="551"/>
      <c r="EUY33" s="551"/>
      <c r="EUZ33" s="551"/>
      <c r="EVA33" s="551"/>
      <c r="EVB33" s="551"/>
      <c r="EVC33" s="551"/>
      <c r="EVD33" s="551"/>
      <c r="EVE33" s="551"/>
      <c r="EVF33" s="551"/>
      <c r="EVG33" s="551"/>
      <c r="EVH33" s="551"/>
      <c r="EVI33" s="551"/>
      <c r="EVJ33" s="551"/>
      <c r="EVK33" s="551"/>
      <c r="EVL33" s="551"/>
      <c r="EVM33" s="551"/>
      <c r="EVN33" s="551"/>
      <c r="EVO33" s="551"/>
      <c r="EVP33" s="551"/>
      <c r="EVQ33" s="551"/>
      <c r="EVR33" s="551"/>
      <c r="EVS33" s="551"/>
      <c r="EVT33" s="551"/>
      <c r="EVU33" s="551"/>
      <c r="EVV33" s="551"/>
      <c r="EVW33" s="551"/>
      <c r="EVX33" s="551"/>
      <c r="EVY33" s="551"/>
      <c r="EVZ33" s="551"/>
      <c r="EWA33" s="551"/>
      <c r="EWB33" s="551"/>
      <c r="EWC33" s="551"/>
      <c r="EWD33" s="551"/>
      <c r="EWE33" s="551"/>
      <c r="EWF33" s="551"/>
      <c r="EWG33" s="551"/>
      <c r="EWH33" s="551"/>
      <c r="EWI33" s="551"/>
      <c r="EWJ33" s="551"/>
      <c r="EWK33" s="551"/>
      <c r="EWL33" s="551"/>
      <c r="EWM33" s="551"/>
      <c r="EWN33" s="551"/>
      <c r="EWO33" s="551"/>
      <c r="EWP33" s="551"/>
      <c r="EWQ33" s="551"/>
      <c r="EWR33" s="551"/>
      <c r="EWS33" s="551"/>
      <c r="EWT33" s="551"/>
      <c r="EWU33" s="551"/>
      <c r="EWV33" s="551"/>
      <c r="EWW33" s="551"/>
      <c r="EWX33" s="551"/>
      <c r="EWY33" s="551"/>
      <c r="EWZ33" s="551"/>
      <c r="EXA33" s="551"/>
      <c r="EXB33" s="551"/>
      <c r="EXC33" s="551"/>
      <c r="EXD33" s="551"/>
      <c r="EXE33" s="551"/>
      <c r="EXF33" s="551"/>
      <c r="EXG33" s="551"/>
      <c r="EXH33" s="551"/>
      <c r="EXI33" s="551"/>
      <c r="EXJ33" s="551"/>
      <c r="EXK33" s="551"/>
      <c r="EXL33" s="551"/>
      <c r="EXM33" s="551"/>
      <c r="EXN33" s="551"/>
      <c r="EXO33" s="551"/>
      <c r="EXP33" s="551"/>
      <c r="EXQ33" s="551"/>
      <c r="EXR33" s="551"/>
      <c r="EXS33" s="551"/>
      <c r="EXT33" s="551"/>
      <c r="EXU33" s="551"/>
      <c r="EXV33" s="551"/>
      <c r="EXW33" s="551"/>
      <c r="EXX33" s="551"/>
      <c r="EXY33" s="551"/>
      <c r="EXZ33" s="551"/>
      <c r="EYA33" s="551"/>
      <c r="EYB33" s="551"/>
      <c r="EYC33" s="551"/>
      <c r="EYD33" s="551"/>
      <c r="EYE33" s="551"/>
      <c r="EYF33" s="551"/>
      <c r="EYG33" s="551"/>
      <c r="EYH33" s="551"/>
      <c r="EYI33" s="551"/>
      <c r="EYJ33" s="551"/>
      <c r="EYK33" s="551"/>
      <c r="EYL33" s="551"/>
      <c r="EYM33" s="551"/>
      <c r="EYN33" s="551"/>
      <c r="EYO33" s="551"/>
      <c r="EYP33" s="551"/>
      <c r="EYQ33" s="551"/>
      <c r="EYR33" s="551"/>
      <c r="EYS33" s="551"/>
      <c r="EYT33" s="551"/>
      <c r="EYU33" s="551"/>
      <c r="EYV33" s="551"/>
      <c r="EYW33" s="551"/>
      <c r="EYX33" s="551"/>
      <c r="EYY33" s="551"/>
      <c r="EYZ33" s="551"/>
      <c r="EZA33" s="551"/>
      <c r="EZB33" s="551"/>
      <c r="EZC33" s="551"/>
      <c r="EZD33" s="551"/>
      <c r="EZE33" s="551"/>
      <c r="EZF33" s="551"/>
      <c r="EZG33" s="551"/>
      <c r="EZH33" s="551"/>
      <c r="EZI33" s="551"/>
      <c r="EZJ33" s="551"/>
      <c r="EZK33" s="551"/>
      <c r="EZL33" s="551"/>
      <c r="EZM33" s="551"/>
      <c r="EZN33" s="551"/>
      <c r="EZO33" s="551"/>
      <c r="EZP33" s="551"/>
      <c r="EZQ33" s="551"/>
      <c r="EZR33" s="551"/>
      <c r="EZS33" s="551"/>
      <c r="EZT33" s="551"/>
      <c r="EZU33" s="551"/>
      <c r="EZV33" s="551"/>
      <c r="EZW33" s="551"/>
      <c r="EZX33" s="551"/>
      <c r="EZY33" s="551"/>
      <c r="EZZ33" s="551"/>
      <c r="FAA33" s="551"/>
      <c r="FAB33" s="551"/>
      <c r="FAC33" s="551"/>
      <c r="FAD33" s="551"/>
      <c r="FAE33" s="551"/>
      <c r="FAF33" s="551"/>
      <c r="FAG33" s="551"/>
      <c r="FAH33" s="551"/>
      <c r="FAI33" s="551"/>
      <c r="FAJ33" s="551"/>
      <c r="FAK33" s="551"/>
      <c r="FAL33" s="551"/>
      <c r="FAM33" s="551"/>
      <c r="FAN33" s="551"/>
      <c r="FAO33" s="551"/>
      <c r="FAP33" s="551"/>
      <c r="FAQ33" s="551"/>
      <c r="FAR33" s="551"/>
      <c r="FAS33" s="551"/>
      <c r="FAT33" s="551"/>
      <c r="FAU33" s="551"/>
      <c r="FAV33" s="551"/>
      <c r="FAW33" s="551"/>
      <c r="FAX33" s="551"/>
      <c r="FAY33" s="551"/>
      <c r="FAZ33" s="551"/>
      <c r="FBA33" s="551"/>
      <c r="FBB33" s="551"/>
      <c r="FBC33" s="551"/>
      <c r="FBD33" s="551"/>
      <c r="FBE33" s="551"/>
      <c r="FBF33" s="551"/>
      <c r="FBG33" s="551"/>
      <c r="FBH33" s="551"/>
      <c r="FBI33" s="551"/>
      <c r="FBJ33" s="551"/>
      <c r="FBK33" s="551"/>
      <c r="FBL33" s="551"/>
      <c r="FBM33" s="551"/>
      <c r="FBN33" s="551"/>
      <c r="FBO33" s="551"/>
      <c r="FBP33" s="551"/>
      <c r="FBQ33" s="551"/>
      <c r="FBR33" s="551"/>
      <c r="FBS33" s="551"/>
      <c r="FBT33" s="551"/>
      <c r="FBU33" s="551"/>
      <c r="FBV33" s="551"/>
      <c r="FBW33" s="551"/>
      <c r="FBX33" s="551"/>
      <c r="FBY33" s="551"/>
      <c r="FBZ33" s="551"/>
      <c r="FCA33" s="551"/>
      <c r="FCB33" s="551"/>
      <c r="FCC33" s="551"/>
      <c r="FCD33" s="551"/>
      <c r="FCE33" s="551"/>
      <c r="FCF33" s="551"/>
      <c r="FCG33" s="551"/>
      <c r="FCH33" s="551"/>
      <c r="FCI33" s="551"/>
      <c r="FCJ33" s="551"/>
      <c r="FCK33" s="551"/>
      <c r="FCL33" s="551"/>
      <c r="FCM33" s="551"/>
      <c r="FCN33" s="551"/>
      <c r="FCO33" s="551"/>
      <c r="FCP33" s="551"/>
      <c r="FCQ33" s="551"/>
      <c r="FCR33" s="551"/>
      <c r="FCS33" s="551"/>
      <c r="FCT33" s="551"/>
      <c r="FCU33" s="551"/>
      <c r="FCV33" s="551"/>
      <c r="FCW33" s="551"/>
      <c r="FCX33" s="551"/>
      <c r="FCY33" s="551"/>
      <c r="FCZ33" s="551"/>
      <c r="FDA33" s="551"/>
      <c r="FDB33" s="551"/>
      <c r="FDC33" s="551"/>
      <c r="FDD33" s="551"/>
      <c r="FDE33" s="551"/>
      <c r="FDF33" s="551"/>
      <c r="FDG33" s="551"/>
      <c r="FDH33" s="551"/>
      <c r="FDI33" s="551"/>
      <c r="FDJ33" s="551"/>
      <c r="FDK33" s="551"/>
      <c r="FDL33" s="551"/>
      <c r="FDM33" s="551"/>
      <c r="FDN33" s="551"/>
      <c r="FDO33" s="551"/>
      <c r="FDP33" s="551"/>
      <c r="FDQ33" s="551"/>
      <c r="FDR33" s="551"/>
      <c r="FDS33" s="551"/>
      <c r="FDT33" s="551"/>
      <c r="FDU33" s="551"/>
      <c r="FDV33" s="551"/>
      <c r="FDW33" s="551"/>
      <c r="FDX33" s="551"/>
      <c r="FDY33" s="551"/>
      <c r="FDZ33" s="551"/>
      <c r="FEA33" s="551"/>
      <c r="FEB33" s="551"/>
      <c r="FEC33" s="551"/>
      <c r="FED33" s="551"/>
      <c r="FEE33" s="551"/>
      <c r="FEF33" s="551"/>
      <c r="FEG33" s="551"/>
      <c r="FEH33" s="551"/>
      <c r="FEI33" s="551"/>
      <c r="FEJ33" s="551"/>
      <c r="FEK33" s="551"/>
      <c r="FEL33" s="551"/>
      <c r="FEM33" s="551"/>
      <c r="FEN33" s="551"/>
      <c r="FEO33" s="551"/>
      <c r="FEP33" s="551"/>
      <c r="FEQ33" s="551"/>
      <c r="FER33" s="551"/>
      <c r="FES33" s="551"/>
      <c r="FET33" s="551"/>
      <c r="FEU33" s="551"/>
      <c r="FEV33" s="551"/>
      <c r="FEW33" s="551"/>
      <c r="FEX33" s="551"/>
      <c r="FEY33" s="551"/>
      <c r="FEZ33" s="551"/>
      <c r="FFA33" s="551"/>
      <c r="FFB33" s="551"/>
      <c r="FFC33" s="551"/>
      <c r="FFD33" s="551"/>
      <c r="FFE33" s="551"/>
      <c r="FFF33" s="551"/>
      <c r="FFG33" s="551"/>
      <c r="FFH33" s="551"/>
      <c r="FFI33" s="551"/>
      <c r="FFJ33" s="551"/>
      <c r="FFK33" s="551"/>
      <c r="FFL33" s="551"/>
      <c r="FFM33" s="551"/>
      <c r="FFN33" s="551"/>
      <c r="FFO33" s="551"/>
      <c r="FFP33" s="551"/>
      <c r="FFQ33" s="551"/>
      <c r="FFR33" s="551"/>
      <c r="FFS33" s="551"/>
      <c r="FFT33" s="551"/>
      <c r="FFU33" s="551"/>
      <c r="FFV33" s="551"/>
      <c r="FFW33" s="551"/>
      <c r="FFX33" s="551"/>
      <c r="FFY33" s="551"/>
      <c r="FFZ33" s="551"/>
      <c r="FGA33" s="551"/>
      <c r="FGB33" s="551"/>
      <c r="FGC33" s="551"/>
      <c r="FGD33" s="551"/>
      <c r="FGE33" s="551"/>
      <c r="FGF33" s="551"/>
      <c r="FGG33" s="551"/>
      <c r="FGH33" s="551"/>
      <c r="FGI33" s="551"/>
      <c r="FGJ33" s="551"/>
      <c r="FGK33" s="551"/>
      <c r="FGL33" s="551"/>
      <c r="FGM33" s="551"/>
      <c r="FGN33" s="551"/>
      <c r="FGO33" s="551"/>
      <c r="FGP33" s="551"/>
      <c r="FGQ33" s="551"/>
      <c r="FGR33" s="551"/>
      <c r="FGS33" s="551"/>
      <c r="FGT33" s="551"/>
      <c r="FGU33" s="551"/>
      <c r="FGV33" s="551"/>
      <c r="FGW33" s="551"/>
      <c r="FGX33" s="551"/>
      <c r="FGY33" s="551"/>
      <c r="FGZ33" s="551"/>
      <c r="FHA33" s="551"/>
      <c r="FHB33" s="551"/>
      <c r="FHC33" s="551"/>
      <c r="FHD33" s="551"/>
      <c r="FHE33" s="551"/>
      <c r="FHF33" s="551"/>
      <c r="FHG33" s="551"/>
      <c r="FHH33" s="551"/>
      <c r="FHI33" s="551"/>
      <c r="FHJ33" s="551"/>
      <c r="FHK33" s="551"/>
      <c r="FHL33" s="551"/>
      <c r="FHM33" s="551"/>
      <c r="FHN33" s="551"/>
      <c r="FHO33" s="551"/>
      <c r="FHP33" s="551"/>
      <c r="FHQ33" s="551"/>
      <c r="FHR33" s="551"/>
      <c r="FHS33" s="551"/>
      <c r="FHT33" s="551"/>
      <c r="FHU33" s="551"/>
      <c r="FHV33" s="551"/>
      <c r="FHW33" s="551"/>
      <c r="FHX33" s="551"/>
      <c r="FHY33" s="551"/>
      <c r="FHZ33" s="551"/>
      <c r="FIA33" s="551"/>
      <c r="FIB33" s="551"/>
      <c r="FIC33" s="551"/>
      <c r="FID33" s="551"/>
      <c r="FIE33" s="551"/>
      <c r="FIF33" s="551"/>
      <c r="FIG33" s="551"/>
      <c r="FIH33" s="551"/>
      <c r="FII33" s="551"/>
      <c r="FIJ33" s="551"/>
      <c r="FIK33" s="551"/>
      <c r="FIL33" s="551"/>
      <c r="FIM33" s="551"/>
      <c r="FIN33" s="551"/>
      <c r="FIO33" s="551"/>
      <c r="FIP33" s="551"/>
      <c r="FIQ33" s="551"/>
      <c r="FIR33" s="551"/>
      <c r="FIS33" s="551"/>
      <c r="FIT33" s="551"/>
      <c r="FIU33" s="551"/>
      <c r="FIV33" s="551"/>
      <c r="FIW33" s="551"/>
      <c r="FIX33" s="551"/>
      <c r="FIY33" s="551"/>
      <c r="FIZ33" s="551"/>
      <c r="FJA33" s="551"/>
      <c r="FJB33" s="551"/>
      <c r="FJC33" s="551"/>
      <c r="FJD33" s="551"/>
      <c r="FJE33" s="551"/>
      <c r="FJF33" s="551"/>
      <c r="FJG33" s="551"/>
      <c r="FJH33" s="551"/>
      <c r="FJI33" s="551"/>
      <c r="FJJ33" s="551"/>
      <c r="FJK33" s="551"/>
      <c r="FJL33" s="551"/>
      <c r="FJM33" s="551"/>
      <c r="FJN33" s="551"/>
      <c r="FJO33" s="551"/>
      <c r="FJP33" s="551"/>
      <c r="FJQ33" s="551"/>
      <c r="FJR33" s="551"/>
      <c r="FJS33" s="551"/>
      <c r="FJT33" s="551"/>
      <c r="FJU33" s="551"/>
      <c r="FJV33" s="551"/>
      <c r="FJW33" s="551"/>
      <c r="FJX33" s="551"/>
      <c r="FJY33" s="551"/>
      <c r="FJZ33" s="551"/>
      <c r="FKA33" s="551"/>
      <c r="FKB33" s="551"/>
      <c r="FKC33" s="551"/>
      <c r="FKD33" s="551"/>
      <c r="FKE33" s="551"/>
      <c r="FKF33" s="551"/>
      <c r="FKG33" s="551"/>
      <c r="FKH33" s="551"/>
      <c r="FKI33" s="551"/>
      <c r="FKJ33" s="551"/>
      <c r="FKK33" s="551"/>
      <c r="FKL33" s="551"/>
      <c r="FKM33" s="551"/>
      <c r="FKN33" s="551"/>
      <c r="FKO33" s="551"/>
      <c r="FKP33" s="551"/>
      <c r="FKQ33" s="551"/>
      <c r="FKR33" s="551"/>
      <c r="FKS33" s="551"/>
      <c r="FKT33" s="551"/>
      <c r="FKU33" s="551"/>
      <c r="FKV33" s="551"/>
      <c r="FKW33" s="551"/>
      <c r="FKX33" s="551"/>
      <c r="FKY33" s="551"/>
      <c r="FKZ33" s="551"/>
      <c r="FLA33" s="551"/>
      <c r="FLB33" s="551"/>
      <c r="FLC33" s="551"/>
      <c r="FLD33" s="551"/>
      <c r="FLE33" s="551"/>
      <c r="FLF33" s="551"/>
      <c r="FLG33" s="551"/>
      <c r="FLH33" s="551"/>
      <c r="FLI33" s="551"/>
      <c r="FLJ33" s="551"/>
      <c r="FLK33" s="551"/>
      <c r="FLL33" s="551"/>
      <c r="FLM33" s="551"/>
      <c r="FLN33" s="551"/>
      <c r="FLO33" s="551"/>
      <c r="FLP33" s="551"/>
      <c r="FLQ33" s="551"/>
      <c r="FLR33" s="551"/>
      <c r="FLS33" s="551"/>
      <c r="FLT33" s="551"/>
      <c r="FLU33" s="551"/>
      <c r="FLV33" s="551"/>
      <c r="FLW33" s="551"/>
      <c r="FLX33" s="551"/>
      <c r="FLY33" s="551"/>
      <c r="FLZ33" s="551"/>
      <c r="FMA33" s="551"/>
      <c r="FMB33" s="551"/>
      <c r="FMC33" s="551"/>
      <c r="FMD33" s="551"/>
      <c r="FME33" s="551"/>
      <c r="FMF33" s="551"/>
      <c r="FMG33" s="551"/>
      <c r="FMH33" s="551"/>
      <c r="FMI33" s="551"/>
      <c r="FMJ33" s="551"/>
      <c r="FMK33" s="551"/>
      <c r="FML33" s="551"/>
      <c r="FMM33" s="551"/>
      <c r="FMN33" s="551"/>
      <c r="FMO33" s="551"/>
      <c r="FMP33" s="551"/>
      <c r="FMQ33" s="551"/>
      <c r="FMR33" s="551"/>
      <c r="FMS33" s="551"/>
      <c r="FMT33" s="551"/>
      <c r="FMU33" s="551"/>
      <c r="FMV33" s="551"/>
      <c r="FMW33" s="551"/>
      <c r="FMX33" s="551"/>
      <c r="FMY33" s="551"/>
      <c r="FMZ33" s="551"/>
      <c r="FNA33" s="551"/>
      <c r="FNB33" s="551"/>
      <c r="FNC33" s="551"/>
      <c r="FND33" s="551"/>
      <c r="FNE33" s="551"/>
      <c r="FNF33" s="551"/>
      <c r="FNG33" s="551"/>
      <c r="FNH33" s="551"/>
      <c r="FNI33" s="551"/>
      <c r="FNJ33" s="551"/>
      <c r="FNK33" s="551"/>
      <c r="FNL33" s="551"/>
      <c r="FNM33" s="551"/>
      <c r="FNN33" s="551"/>
      <c r="FNO33" s="551"/>
      <c r="FNP33" s="551"/>
      <c r="FNQ33" s="551"/>
      <c r="FNR33" s="551"/>
      <c r="FNS33" s="551"/>
      <c r="FNT33" s="551"/>
      <c r="FNU33" s="551"/>
      <c r="FNV33" s="551"/>
      <c r="FNW33" s="551"/>
      <c r="FNX33" s="551"/>
      <c r="FNY33" s="551"/>
      <c r="FNZ33" s="551"/>
      <c r="FOA33" s="551"/>
      <c r="FOB33" s="551"/>
      <c r="FOC33" s="551"/>
      <c r="FOD33" s="551"/>
      <c r="FOE33" s="551"/>
      <c r="FOF33" s="551"/>
      <c r="FOG33" s="551"/>
      <c r="FOH33" s="551"/>
      <c r="FOI33" s="551"/>
      <c r="FOJ33" s="551"/>
      <c r="FOK33" s="551"/>
      <c r="FOL33" s="551"/>
      <c r="FOM33" s="551"/>
      <c r="FON33" s="551"/>
      <c r="FOO33" s="551"/>
      <c r="FOP33" s="551"/>
      <c r="FOQ33" s="551"/>
      <c r="FOR33" s="551"/>
      <c r="FOS33" s="551"/>
      <c r="FOT33" s="551"/>
      <c r="FOU33" s="551"/>
      <c r="FOV33" s="551"/>
      <c r="FOW33" s="551"/>
      <c r="FOX33" s="551"/>
      <c r="FOY33" s="551"/>
      <c r="FOZ33" s="551"/>
      <c r="FPA33" s="551"/>
      <c r="FPB33" s="551"/>
      <c r="FPC33" s="551"/>
      <c r="FPD33" s="551"/>
      <c r="FPE33" s="551"/>
      <c r="FPF33" s="551"/>
      <c r="FPG33" s="551"/>
      <c r="FPH33" s="551"/>
      <c r="FPI33" s="551"/>
      <c r="FPJ33" s="551"/>
      <c r="FPK33" s="551"/>
      <c r="FPL33" s="551"/>
      <c r="FPM33" s="551"/>
      <c r="FPN33" s="551"/>
      <c r="FPO33" s="551"/>
      <c r="FPP33" s="551"/>
      <c r="FPQ33" s="551"/>
      <c r="FPR33" s="551"/>
      <c r="FPS33" s="551"/>
      <c r="FPT33" s="551"/>
      <c r="FPU33" s="551"/>
      <c r="FPV33" s="551"/>
      <c r="FPW33" s="551"/>
      <c r="FPX33" s="551"/>
      <c r="FPY33" s="551"/>
      <c r="FPZ33" s="551"/>
      <c r="FQA33" s="551"/>
      <c r="FQB33" s="551"/>
      <c r="FQC33" s="551"/>
      <c r="FQD33" s="551"/>
      <c r="FQE33" s="551"/>
      <c r="FQF33" s="551"/>
      <c r="FQG33" s="551"/>
      <c r="FQH33" s="551"/>
      <c r="FQI33" s="551"/>
      <c r="FQJ33" s="551"/>
      <c r="FQK33" s="551"/>
      <c r="FQL33" s="551"/>
      <c r="FQM33" s="551"/>
      <c r="FQN33" s="551"/>
      <c r="FQO33" s="551"/>
      <c r="FQP33" s="551"/>
      <c r="FQQ33" s="551"/>
      <c r="FQR33" s="551"/>
      <c r="FQS33" s="551"/>
      <c r="FQT33" s="551"/>
      <c r="FQU33" s="551"/>
      <c r="FQV33" s="551"/>
      <c r="FQW33" s="551"/>
      <c r="FQX33" s="551"/>
      <c r="FQY33" s="551"/>
      <c r="FQZ33" s="551"/>
      <c r="FRA33" s="551"/>
      <c r="FRB33" s="551"/>
      <c r="FRC33" s="551"/>
      <c r="FRD33" s="551"/>
      <c r="FRE33" s="551"/>
      <c r="FRF33" s="551"/>
      <c r="FRG33" s="551"/>
      <c r="FRH33" s="551"/>
      <c r="FRI33" s="551"/>
      <c r="FRJ33" s="551"/>
      <c r="FRK33" s="551"/>
      <c r="FRL33" s="551"/>
      <c r="FRM33" s="551"/>
      <c r="FRN33" s="551"/>
      <c r="FRO33" s="551"/>
      <c r="FRP33" s="551"/>
      <c r="FRQ33" s="551"/>
      <c r="FRR33" s="551"/>
      <c r="FRS33" s="551"/>
      <c r="FRT33" s="551"/>
      <c r="FRU33" s="551"/>
      <c r="FRV33" s="551"/>
      <c r="FRW33" s="551"/>
      <c r="FRX33" s="551"/>
      <c r="FRY33" s="551"/>
      <c r="FRZ33" s="551"/>
      <c r="FSA33" s="551"/>
      <c r="FSB33" s="551"/>
      <c r="FSC33" s="551"/>
      <c r="FSD33" s="551"/>
      <c r="FSE33" s="551"/>
      <c r="FSF33" s="551"/>
      <c r="FSG33" s="551"/>
      <c r="FSH33" s="551"/>
      <c r="FSI33" s="551"/>
      <c r="FSJ33" s="551"/>
      <c r="FSK33" s="551"/>
      <c r="FSL33" s="551"/>
      <c r="FSM33" s="551"/>
      <c r="FSN33" s="551"/>
      <c r="FSO33" s="551"/>
      <c r="FSP33" s="551"/>
      <c r="FSQ33" s="551"/>
      <c r="FSR33" s="551"/>
      <c r="FSS33" s="551"/>
      <c r="FST33" s="551"/>
      <c r="FSU33" s="551"/>
      <c r="FSV33" s="551"/>
      <c r="FSW33" s="551"/>
      <c r="FSX33" s="551"/>
      <c r="FSY33" s="551"/>
      <c r="FSZ33" s="551"/>
      <c r="FTA33" s="551"/>
      <c r="FTB33" s="551"/>
      <c r="FTC33" s="551"/>
      <c r="FTD33" s="551"/>
      <c r="FTE33" s="551"/>
      <c r="FTF33" s="551"/>
      <c r="FTG33" s="551"/>
      <c r="FTH33" s="551"/>
      <c r="FTI33" s="551"/>
      <c r="FTJ33" s="551"/>
      <c r="FTK33" s="551"/>
      <c r="FTL33" s="551"/>
      <c r="FTM33" s="551"/>
      <c r="FTN33" s="551"/>
      <c r="FTO33" s="551"/>
      <c r="FTP33" s="551"/>
      <c r="FTQ33" s="551"/>
      <c r="FTR33" s="551"/>
      <c r="FTS33" s="551"/>
      <c r="FTT33" s="551"/>
      <c r="FTU33" s="551"/>
      <c r="FTV33" s="551"/>
      <c r="FTW33" s="551"/>
      <c r="FTX33" s="551"/>
      <c r="FTY33" s="551"/>
      <c r="FTZ33" s="551"/>
      <c r="FUA33" s="551"/>
      <c r="FUB33" s="551"/>
      <c r="FUC33" s="551"/>
      <c r="FUD33" s="551"/>
      <c r="FUE33" s="551"/>
      <c r="FUF33" s="551"/>
      <c r="FUG33" s="551"/>
      <c r="FUH33" s="551"/>
      <c r="FUI33" s="551"/>
      <c r="FUJ33" s="551"/>
      <c r="FUK33" s="551"/>
      <c r="FUL33" s="551"/>
      <c r="FUM33" s="551"/>
      <c r="FUN33" s="551"/>
      <c r="FUO33" s="551"/>
      <c r="FUP33" s="551"/>
      <c r="FUQ33" s="551"/>
      <c r="FUR33" s="551"/>
      <c r="FUS33" s="551"/>
      <c r="FUT33" s="551"/>
      <c r="FUU33" s="551"/>
      <c r="FUV33" s="551"/>
      <c r="FUW33" s="551"/>
      <c r="FUX33" s="551"/>
      <c r="FUY33" s="551"/>
      <c r="FUZ33" s="551"/>
      <c r="FVA33" s="551"/>
      <c r="FVB33" s="551"/>
      <c r="FVC33" s="551"/>
      <c r="FVD33" s="551"/>
      <c r="FVE33" s="551"/>
      <c r="FVF33" s="551"/>
      <c r="FVG33" s="551"/>
      <c r="FVH33" s="551"/>
      <c r="FVI33" s="551"/>
      <c r="FVJ33" s="551"/>
      <c r="FVK33" s="551"/>
      <c r="FVL33" s="551"/>
      <c r="FVM33" s="551"/>
      <c r="FVN33" s="551"/>
      <c r="FVO33" s="551"/>
      <c r="FVP33" s="551"/>
      <c r="FVQ33" s="551"/>
      <c r="FVR33" s="551"/>
      <c r="FVS33" s="551"/>
      <c r="FVT33" s="551"/>
      <c r="FVU33" s="551"/>
      <c r="FVV33" s="551"/>
      <c r="FVW33" s="551"/>
      <c r="FVX33" s="551"/>
      <c r="FVY33" s="551"/>
      <c r="FVZ33" s="551"/>
      <c r="FWA33" s="551"/>
      <c r="FWB33" s="551"/>
      <c r="FWC33" s="551"/>
      <c r="FWD33" s="551"/>
      <c r="FWE33" s="551"/>
      <c r="FWF33" s="551"/>
      <c r="FWG33" s="551"/>
      <c r="FWH33" s="551"/>
      <c r="FWI33" s="551"/>
      <c r="FWJ33" s="551"/>
      <c r="FWK33" s="551"/>
      <c r="FWL33" s="551"/>
      <c r="FWM33" s="551"/>
      <c r="FWN33" s="551"/>
      <c r="FWO33" s="551"/>
      <c r="FWP33" s="551"/>
      <c r="FWQ33" s="551"/>
      <c r="FWR33" s="551"/>
      <c r="FWS33" s="551"/>
      <c r="FWT33" s="551"/>
      <c r="FWU33" s="551"/>
      <c r="FWV33" s="551"/>
      <c r="FWW33" s="551"/>
      <c r="FWX33" s="551"/>
      <c r="FWY33" s="551"/>
      <c r="FWZ33" s="551"/>
      <c r="FXA33" s="551"/>
      <c r="FXB33" s="551"/>
      <c r="FXC33" s="551"/>
      <c r="FXD33" s="551"/>
      <c r="FXE33" s="551"/>
      <c r="FXF33" s="551"/>
      <c r="FXG33" s="551"/>
      <c r="FXH33" s="551"/>
      <c r="FXI33" s="551"/>
      <c r="FXJ33" s="551"/>
      <c r="FXK33" s="551"/>
      <c r="FXL33" s="551"/>
      <c r="FXM33" s="551"/>
      <c r="FXN33" s="551"/>
      <c r="FXO33" s="551"/>
      <c r="FXP33" s="551"/>
      <c r="FXQ33" s="551"/>
      <c r="FXR33" s="551"/>
      <c r="FXS33" s="551"/>
      <c r="FXT33" s="551"/>
      <c r="FXU33" s="551"/>
      <c r="FXV33" s="551"/>
      <c r="FXW33" s="551"/>
      <c r="FXX33" s="551"/>
      <c r="FXY33" s="551"/>
      <c r="FXZ33" s="551"/>
      <c r="FYA33" s="551"/>
      <c r="FYB33" s="551"/>
      <c r="FYC33" s="551"/>
      <c r="FYD33" s="551"/>
      <c r="FYE33" s="551"/>
      <c r="FYF33" s="551"/>
      <c r="FYG33" s="551"/>
      <c r="FYH33" s="551"/>
      <c r="FYI33" s="551"/>
      <c r="FYJ33" s="551"/>
      <c r="FYK33" s="551"/>
      <c r="FYL33" s="551"/>
      <c r="FYM33" s="551"/>
      <c r="FYN33" s="551"/>
      <c r="FYO33" s="551"/>
      <c r="FYP33" s="551"/>
      <c r="FYQ33" s="551"/>
      <c r="FYR33" s="551"/>
      <c r="FYS33" s="551"/>
      <c r="FYT33" s="551"/>
      <c r="FYU33" s="551"/>
      <c r="FYV33" s="551"/>
      <c r="FYW33" s="551"/>
      <c r="FYX33" s="551"/>
      <c r="FYY33" s="551"/>
      <c r="FYZ33" s="551"/>
      <c r="FZA33" s="551"/>
      <c r="FZB33" s="551"/>
      <c r="FZC33" s="551"/>
      <c r="FZD33" s="551"/>
      <c r="FZE33" s="551"/>
      <c r="FZF33" s="551"/>
      <c r="FZG33" s="551"/>
      <c r="FZH33" s="551"/>
      <c r="FZI33" s="551"/>
      <c r="FZJ33" s="551"/>
      <c r="FZK33" s="551"/>
      <c r="FZL33" s="551"/>
      <c r="FZM33" s="551"/>
      <c r="FZN33" s="551"/>
      <c r="FZO33" s="551"/>
      <c r="FZP33" s="551"/>
      <c r="FZQ33" s="551"/>
      <c r="FZR33" s="551"/>
      <c r="FZS33" s="551"/>
      <c r="FZT33" s="551"/>
      <c r="FZU33" s="551"/>
      <c r="FZV33" s="551"/>
      <c r="FZW33" s="551"/>
      <c r="FZX33" s="551"/>
      <c r="FZY33" s="551"/>
      <c r="FZZ33" s="551"/>
      <c r="GAA33" s="551"/>
      <c r="GAB33" s="551"/>
      <c r="GAC33" s="551"/>
      <c r="GAD33" s="551"/>
      <c r="GAE33" s="551"/>
      <c r="GAF33" s="551"/>
      <c r="GAG33" s="551"/>
      <c r="GAH33" s="551"/>
      <c r="GAI33" s="551"/>
      <c r="GAJ33" s="551"/>
      <c r="GAK33" s="551"/>
      <c r="GAL33" s="551"/>
      <c r="GAM33" s="551"/>
      <c r="GAN33" s="551"/>
      <c r="GAO33" s="551"/>
      <c r="GAP33" s="551"/>
      <c r="GAQ33" s="551"/>
      <c r="GAR33" s="551"/>
      <c r="GAS33" s="551"/>
      <c r="GAT33" s="551"/>
      <c r="GAU33" s="551"/>
      <c r="GAV33" s="551"/>
      <c r="GAW33" s="551"/>
      <c r="GAX33" s="551"/>
      <c r="GAY33" s="551"/>
      <c r="GAZ33" s="551"/>
      <c r="GBA33" s="551"/>
      <c r="GBB33" s="551"/>
      <c r="GBC33" s="551"/>
      <c r="GBD33" s="551"/>
      <c r="GBE33" s="551"/>
      <c r="GBF33" s="551"/>
      <c r="GBG33" s="551"/>
      <c r="GBH33" s="551"/>
      <c r="GBI33" s="551"/>
      <c r="GBJ33" s="551"/>
      <c r="GBK33" s="551"/>
      <c r="GBL33" s="551"/>
      <c r="GBM33" s="551"/>
      <c r="GBN33" s="551"/>
      <c r="GBO33" s="551"/>
      <c r="GBP33" s="551"/>
      <c r="GBQ33" s="551"/>
      <c r="GBR33" s="551"/>
      <c r="GBS33" s="551"/>
      <c r="GBT33" s="551"/>
      <c r="GBU33" s="551"/>
      <c r="GBV33" s="551"/>
      <c r="GBW33" s="551"/>
      <c r="GBX33" s="551"/>
      <c r="GBY33" s="551"/>
      <c r="GBZ33" s="551"/>
      <c r="GCA33" s="551"/>
      <c r="GCB33" s="551"/>
      <c r="GCC33" s="551"/>
      <c r="GCD33" s="551"/>
      <c r="GCE33" s="551"/>
      <c r="GCF33" s="551"/>
      <c r="GCG33" s="551"/>
      <c r="GCH33" s="551"/>
      <c r="GCI33" s="551"/>
      <c r="GCJ33" s="551"/>
      <c r="GCK33" s="551"/>
      <c r="GCL33" s="551"/>
      <c r="GCM33" s="551"/>
      <c r="GCN33" s="551"/>
      <c r="GCO33" s="551"/>
      <c r="GCP33" s="551"/>
      <c r="GCQ33" s="551"/>
      <c r="GCR33" s="551"/>
      <c r="GCS33" s="551"/>
      <c r="GCT33" s="551"/>
      <c r="GCU33" s="551"/>
      <c r="GCV33" s="551"/>
      <c r="GCW33" s="551"/>
      <c r="GCX33" s="551"/>
      <c r="GCY33" s="551"/>
      <c r="GCZ33" s="551"/>
      <c r="GDA33" s="551"/>
      <c r="GDB33" s="551"/>
      <c r="GDC33" s="551"/>
      <c r="GDD33" s="551"/>
      <c r="GDE33" s="551"/>
      <c r="GDF33" s="551"/>
      <c r="GDG33" s="551"/>
      <c r="GDH33" s="551"/>
      <c r="GDI33" s="551"/>
      <c r="GDJ33" s="551"/>
      <c r="GDK33" s="551"/>
      <c r="GDL33" s="551"/>
      <c r="GDM33" s="551"/>
      <c r="GDN33" s="551"/>
      <c r="GDO33" s="551"/>
      <c r="GDP33" s="551"/>
      <c r="GDQ33" s="551"/>
      <c r="GDR33" s="551"/>
      <c r="GDS33" s="551"/>
      <c r="GDT33" s="551"/>
      <c r="GDU33" s="551"/>
      <c r="GDV33" s="551"/>
      <c r="GDW33" s="551"/>
      <c r="GDX33" s="551"/>
      <c r="GDY33" s="551"/>
      <c r="GDZ33" s="551"/>
      <c r="GEA33" s="551"/>
      <c r="GEB33" s="551"/>
      <c r="GEC33" s="551"/>
      <c r="GED33" s="551"/>
      <c r="GEE33" s="551"/>
      <c r="GEF33" s="551"/>
      <c r="GEG33" s="551"/>
      <c r="GEH33" s="551"/>
      <c r="GEI33" s="551"/>
      <c r="GEJ33" s="551"/>
      <c r="GEK33" s="551"/>
      <c r="GEL33" s="551"/>
      <c r="GEM33" s="551"/>
      <c r="GEN33" s="551"/>
      <c r="GEO33" s="551"/>
      <c r="GEP33" s="551"/>
      <c r="GEQ33" s="551"/>
      <c r="GER33" s="551"/>
      <c r="GES33" s="551"/>
      <c r="GET33" s="551"/>
      <c r="GEU33" s="551"/>
      <c r="GEV33" s="551"/>
      <c r="GEW33" s="551"/>
      <c r="GEX33" s="551"/>
      <c r="GEY33" s="551"/>
      <c r="GEZ33" s="551"/>
      <c r="GFA33" s="551"/>
      <c r="GFB33" s="551"/>
      <c r="GFC33" s="551"/>
      <c r="GFD33" s="551"/>
      <c r="GFE33" s="551"/>
      <c r="GFF33" s="551"/>
      <c r="GFG33" s="551"/>
      <c r="GFH33" s="551"/>
      <c r="GFI33" s="551"/>
      <c r="GFJ33" s="551"/>
      <c r="GFK33" s="551"/>
      <c r="GFL33" s="551"/>
      <c r="GFM33" s="551"/>
      <c r="GFN33" s="551"/>
      <c r="GFO33" s="551"/>
      <c r="GFP33" s="551"/>
      <c r="GFQ33" s="551"/>
      <c r="GFR33" s="551"/>
      <c r="GFS33" s="551"/>
      <c r="GFT33" s="551"/>
      <c r="GFU33" s="551"/>
      <c r="GFV33" s="551"/>
      <c r="GFW33" s="551"/>
      <c r="GFX33" s="551"/>
      <c r="GFY33" s="551"/>
      <c r="GFZ33" s="551"/>
      <c r="GGA33" s="551"/>
      <c r="GGB33" s="551"/>
      <c r="GGC33" s="551"/>
      <c r="GGD33" s="551"/>
      <c r="GGE33" s="551"/>
      <c r="GGF33" s="551"/>
      <c r="GGG33" s="551"/>
      <c r="GGH33" s="551"/>
      <c r="GGI33" s="551"/>
      <c r="GGJ33" s="551"/>
      <c r="GGK33" s="551"/>
      <c r="GGL33" s="551"/>
      <c r="GGM33" s="551"/>
      <c r="GGN33" s="551"/>
      <c r="GGO33" s="551"/>
      <c r="GGP33" s="551"/>
      <c r="GGQ33" s="551"/>
      <c r="GGR33" s="551"/>
      <c r="GGS33" s="551"/>
      <c r="GGT33" s="551"/>
      <c r="GGU33" s="551"/>
      <c r="GGV33" s="551"/>
      <c r="GGW33" s="551"/>
      <c r="GGX33" s="551"/>
      <c r="GGY33" s="551"/>
      <c r="GGZ33" s="551"/>
      <c r="GHA33" s="551"/>
      <c r="GHB33" s="551"/>
      <c r="GHC33" s="551"/>
      <c r="GHD33" s="551"/>
      <c r="GHE33" s="551"/>
      <c r="GHF33" s="551"/>
      <c r="GHG33" s="551"/>
      <c r="GHH33" s="551"/>
      <c r="GHI33" s="551"/>
      <c r="GHJ33" s="551"/>
      <c r="GHK33" s="551"/>
      <c r="GHL33" s="551"/>
      <c r="GHM33" s="551"/>
      <c r="GHN33" s="551"/>
      <c r="GHO33" s="551"/>
      <c r="GHP33" s="551"/>
      <c r="GHQ33" s="551"/>
      <c r="GHR33" s="551"/>
      <c r="GHS33" s="551"/>
      <c r="GHT33" s="551"/>
      <c r="GHU33" s="551"/>
      <c r="GHV33" s="551"/>
      <c r="GHW33" s="551"/>
      <c r="GHX33" s="551"/>
      <c r="GHY33" s="551"/>
      <c r="GHZ33" s="551"/>
      <c r="GIA33" s="551"/>
      <c r="GIB33" s="551"/>
      <c r="GIC33" s="551"/>
      <c r="GID33" s="551"/>
      <c r="GIE33" s="551"/>
      <c r="GIF33" s="551"/>
      <c r="GIG33" s="551"/>
      <c r="GIH33" s="551"/>
      <c r="GII33" s="551"/>
      <c r="GIJ33" s="551"/>
      <c r="GIK33" s="551"/>
      <c r="GIL33" s="551"/>
      <c r="GIM33" s="551"/>
      <c r="GIN33" s="551"/>
      <c r="GIO33" s="551"/>
      <c r="GIP33" s="551"/>
      <c r="GIQ33" s="551"/>
      <c r="GIR33" s="551"/>
      <c r="GIS33" s="551"/>
      <c r="GIT33" s="551"/>
      <c r="GIU33" s="551"/>
      <c r="GIV33" s="551"/>
      <c r="GIW33" s="551"/>
      <c r="GIX33" s="551"/>
      <c r="GIY33" s="551"/>
      <c r="GIZ33" s="551"/>
      <c r="GJA33" s="551"/>
      <c r="GJB33" s="551"/>
      <c r="GJC33" s="551"/>
      <c r="GJD33" s="551"/>
      <c r="GJE33" s="551"/>
      <c r="GJF33" s="551"/>
      <c r="GJG33" s="551"/>
      <c r="GJH33" s="551"/>
      <c r="GJI33" s="551"/>
      <c r="GJJ33" s="551"/>
      <c r="GJK33" s="551"/>
      <c r="GJL33" s="551"/>
      <c r="GJM33" s="551"/>
      <c r="GJN33" s="551"/>
      <c r="GJO33" s="551"/>
      <c r="GJP33" s="551"/>
      <c r="GJQ33" s="551"/>
      <c r="GJR33" s="551"/>
      <c r="GJS33" s="551"/>
      <c r="GJT33" s="551"/>
      <c r="GJU33" s="551"/>
      <c r="GJV33" s="551"/>
      <c r="GJW33" s="551"/>
      <c r="GJX33" s="551"/>
      <c r="GJY33" s="551"/>
      <c r="GJZ33" s="551"/>
      <c r="GKA33" s="551"/>
      <c r="GKB33" s="551"/>
      <c r="GKC33" s="551"/>
      <c r="GKD33" s="551"/>
      <c r="GKE33" s="551"/>
      <c r="GKF33" s="551"/>
      <c r="GKG33" s="551"/>
      <c r="GKH33" s="551"/>
      <c r="GKI33" s="551"/>
      <c r="GKJ33" s="551"/>
      <c r="GKK33" s="551"/>
      <c r="GKL33" s="551"/>
      <c r="GKM33" s="551"/>
      <c r="GKN33" s="551"/>
      <c r="GKO33" s="551"/>
      <c r="GKP33" s="551"/>
      <c r="GKQ33" s="551"/>
      <c r="GKR33" s="551"/>
      <c r="GKS33" s="551"/>
      <c r="GKT33" s="551"/>
      <c r="GKU33" s="551"/>
      <c r="GKV33" s="551"/>
      <c r="GKW33" s="551"/>
      <c r="GKX33" s="551"/>
      <c r="GKY33" s="551"/>
      <c r="GKZ33" s="551"/>
      <c r="GLA33" s="551"/>
      <c r="GLB33" s="551"/>
      <c r="GLC33" s="551"/>
      <c r="GLD33" s="551"/>
      <c r="GLE33" s="551"/>
      <c r="GLF33" s="551"/>
      <c r="GLG33" s="551"/>
      <c r="GLH33" s="551"/>
      <c r="GLI33" s="551"/>
      <c r="GLJ33" s="551"/>
      <c r="GLK33" s="551"/>
      <c r="GLL33" s="551"/>
      <c r="GLM33" s="551"/>
      <c r="GLN33" s="551"/>
      <c r="GLO33" s="551"/>
      <c r="GLP33" s="551"/>
      <c r="GLQ33" s="551"/>
      <c r="GLR33" s="551"/>
      <c r="GLS33" s="551"/>
      <c r="GLT33" s="551"/>
      <c r="GLU33" s="551"/>
      <c r="GLV33" s="551"/>
      <c r="GLW33" s="551"/>
      <c r="GLX33" s="551"/>
      <c r="GLY33" s="551"/>
      <c r="GLZ33" s="551"/>
      <c r="GMA33" s="551"/>
      <c r="GMB33" s="551"/>
      <c r="GMC33" s="551"/>
      <c r="GMD33" s="551"/>
      <c r="GME33" s="551"/>
      <c r="GMF33" s="551"/>
      <c r="GMG33" s="551"/>
      <c r="GMH33" s="551"/>
      <c r="GMI33" s="551"/>
      <c r="GMJ33" s="551"/>
      <c r="GMK33" s="551"/>
      <c r="GML33" s="551"/>
      <c r="GMM33" s="551"/>
      <c r="GMN33" s="551"/>
      <c r="GMO33" s="551"/>
      <c r="GMP33" s="551"/>
      <c r="GMQ33" s="551"/>
      <c r="GMR33" s="551"/>
      <c r="GMS33" s="551"/>
      <c r="GMT33" s="551"/>
      <c r="GMU33" s="551"/>
      <c r="GMV33" s="551"/>
      <c r="GMW33" s="551"/>
      <c r="GMX33" s="551"/>
      <c r="GMY33" s="551"/>
      <c r="GMZ33" s="551"/>
      <c r="GNA33" s="551"/>
      <c r="GNB33" s="551"/>
      <c r="GNC33" s="551"/>
      <c r="GND33" s="551"/>
      <c r="GNE33" s="551"/>
      <c r="GNF33" s="551"/>
      <c r="GNG33" s="551"/>
      <c r="GNH33" s="551"/>
      <c r="GNI33" s="551"/>
      <c r="GNJ33" s="551"/>
      <c r="GNK33" s="551"/>
      <c r="GNL33" s="551"/>
      <c r="GNM33" s="551"/>
      <c r="GNN33" s="551"/>
      <c r="GNO33" s="551"/>
      <c r="GNP33" s="551"/>
      <c r="GNQ33" s="551"/>
      <c r="GNR33" s="551"/>
      <c r="GNS33" s="551"/>
      <c r="GNT33" s="551"/>
      <c r="GNU33" s="551"/>
      <c r="GNV33" s="551"/>
      <c r="GNW33" s="551"/>
      <c r="GNX33" s="551"/>
      <c r="GNY33" s="551"/>
      <c r="GNZ33" s="551"/>
      <c r="GOA33" s="551"/>
      <c r="GOB33" s="551"/>
      <c r="GOC33" s="551"/>
      <c r="GOD33" s="551"/>
      <c r="GOE33" s="551"/>
      <c r="GOF33" s="551"/>
      <c r="GOG33" s="551"/>
      <c r="GOH33" s="551"/>
      <c r="GOI33" s="551"/>
      <c r="GOJ33" s="551"/>
      <c r="GOK33" s="551"/>
      <c r="GOL33" s="551"/>
      <c r="GOM33" s="551"/>
      <c r="GON33" s="551"/>
      <c r="GOO33" s="551"/>
      <c r="GOP33" s="551"/>
      <c r="GOQ33" s="551"/>
      <c r="GOR33" s="551"/>
      <c r="GOS33" s="551"/>
      <c r="GOT33" s="551"/>
      <c r="GOU33" s="551"/>
      <c r="GOV33" s="551"/>
      <c r="GOW33" s="551"/>
      <c r="GOX33" s="551"/>
      <c r="GOY33" s="551"/>
      <c r="GOZ33" s="551"/>
      <c r="GPA33" s="551"/>
      <c r="GPB33" s="551"/>
      <c r="GPC33" s="551"/>
      <c r="GPD33" s="551"/>
      <c r="GPE33" s="551"/>
      <c r="GPF33" s="551"/>
      <c r="GPG33" s="551"/>
      <c r="GPH33" s="551"/>
      <c r="GPI33" s="551"/>
      <c r="GPJ33" s="551"/>
      <c r="GPK33" s="551"/>
      <c r="GPL33" s="551"/>
      <c r="GPM33" s="551"/>
      <c r="GPN33" s="551"/>
      <c r="GPO33" s="551"/>
      <c r="GPP33" s="551"/>
      <c r="GPQ33" s="551"/>
      <c r="GPR33" s="551"/>
      <c r="GPS33" s="551"/>
      <c r="GPT33" s="551"/>
      <c r="GPU33" s="551"/>
      <c r="GPV33" s="551"/>
      <c r="GPW33" s="551"/>
      <c r="GPX33" s="551"/>
      <c r="GPY33" s="551"/>
      <c r="GPZ33" s="551"/>
      <c r="GQA33" s="551"/>
      <c r="GQB33" s="551"/>
      <c r="GQC33" s="551"/>
      <c r="GQD33" s="551"/>
      <c r="GQE33" s="551"/>
      <c r="GQF33" s="551"/>
      <c r="GQG33" s="551"/>
      <c r="GQH33" s="551"/>
      <c r="GQI33" s="551"/>
      <c r="GQJ33" s="551"/>
      <c r="GQK33" s="551"/>
      <c r="GQL33" s="551"/>
      <c r="GQM33" s="551"/>
      <c r="GQN33" s="551"/>
      <c r="GQO33" s="551"/>
      <c r="GQP33" s="551"/>
      <c r="GQQ33" s="551"/>
      <c r="GQR33" s="551"/>
      <c r="GQS33" s="551"/>
      <c r="GQT33" s="551"/>
      <c r="GQU33" s="551"/>
      <c r="GQV33" s="551"/>
      <c r="GQW33" s="551"/>
      <c r="GQX33" s="551"/>
      <c r="GQY33" s="551"/>
      <c r="GQZ33" s="551"/>
      <c r="GRA33" s="551"/>
      <c r="GRB33" s="551"/>
      <c r="GRC33" s="551"/>
      <c r="GRD33" s="551"/>
      <c r="GRE33" s="551"/>
      <c r="GRF33" s="551"/>
      <c r="GRG33" s="551"/>
      <c r="GRH33" s="551"/>
      <c r="GRI33" s="551"/>
      <c r="GRJ33" s="551"/>
      <c r="GRK33" s="551"/>
      <c r="GRL33" s="551"/>
      <c r="GRM33" s="551"/>
      <c r="GRN33" s="551"/>
      <c r="GRO33" s="551"/>
      <c r="GRP33" s="551"/>
      <c r="GRQ33" s="551"/>
      <c r="GRR33" s="551"/>
      <c r="GRS33" s="551"/>
      <c r="GRT33" s="551"/>
      <c r="GRU33" s="551"/>
      <c r="GRV33" s="551"/>
      <c r="GRW33" s="551"/>
      <c r="GRX33" s="551"/>
      <c r="GRY33" s="551"/>
      <c r="GRZ33" s="551"/>
      <c r="GSA33" s="551"/>
      <c r="GSB33" s="551"/>
      <c r="GSC33" s="551"/>
      <c r="GSD33" s="551"/>
      <c r="GSE33" s="551"/>
      <c r="GSF33" s="551"/>
      <c r="GSG33" s="551"/>
      <c r="GSH33" s="551"/>
      <c r="GSI33" s="551"/>
      <c r="GSJ33" s="551"/>
      <c r="GSK33" s="551"/>
      <c r="GSL33" s="551"/>
      <c r="GSM33" s="551"/>
      <c r="GSN33" s="551"/>
      <c r="GSO33" s="551"/>
      <c r="GSP33" s="551"/>
      <c r="GSQ33" s="551"/>
      <c r="GSR33" s="551"/>
      <c r="GSS33" s="551"/>
      <c r="GST33" s="551"/>
      <c r="GSU33" s="551"/>
      <c r="GSV33" s="551"/>
      <c r="GSW33" s="551"/>
      <c r="GSX33" s="551"/>
      <c r="GSY33" s="551"/>
      <c r="GSZ33" s="551"/>
      <c r="GTA33" s="551"/>
      <c r="GTB33" s="551"/>
      <c r="GTC33" s="551"/>
      <c r="GTD33" s="551"/>
      <c r="GTE33" s="551"/>
      <c r="GTF33" s="551"/>
      <c r="GTG33" s="551"/>
      <c r="GTH33" s="551"/>
      <c r="GTI33" s="551"/>
      <c r="GTJ33" s="551"/>
      <c r="GTK33" s="551"/>
      <c r="GTL33" s="551"/>
      <c r="GTM33" s="551"/>
      <c r="GTN33" s="551"/>
      <c r="GTO33" s="551"/>
      <c r="GTP33" s="551"/>
      <c r="GTQ33" s="551"/>
      <c r="GTR33" s="551"/>
      <c r="GTS33" s="551"/>
      <c r="GTT33" s="551"/>
      <c r="GTU33" s="551"/>
      <c r="GTV33" s="551"/>
      <c r="GTW33" s="551"/>
      <c r="GTX33" s="551"/>
      <c r="GTY33" s="551"/>
      <c r="GTZ33" s="551"/>
      <c r="GUA33" s="551"/>
      <c r="GUB33" s="551"/>
      <c r="GUC33" s="551"/>
      <c r="GUD33" s="551"/>
      <c r="GUE33" s="551"/>
      <c r="GUF33" s="551"/>
      <c r="GUG33" s="551"/>
      <c r="GUH33" s="551"/>
      <c r="GUI33" s="551"/>
      <c r="GUJ33" s="551"/>
      <c r="GUK33" s="551"/>
      <c r="GUL33" s="551"/>
      <c r="GUM33" s="551"/>
      <c r="GUN33" s="551"/>
      <c r="GUO33" s="551"/>
      <c r="GUP33" s="551"/>
      <c r="GUQ33" s="551"/>
      <c r="GUR33" s="551"/>
      <c r="GUS33" s="551"/>
      <c r="GUT33" s="551"/>
      <c r="GUU33" s="551"/>
      <c r="GUV33" s="551"/>
      <c r="GUW33" s="551"/>
      <c r="GUX33" s="551"/>
      <c r="GUY33" s="551"/>
      <c r="GUZ33" s="551"/>
      <c r="GVA33" s="551"/>
      <c r="GVB33" s="551"/>
      <c r="GVC33" s="551"/>
      <c r="GVD33" s="551"/>
      <c r="GVE33" s="551"/>
      <c r="GVF33" s="551"/>
      <c r="GVG33" s="551"/>
      <c r="GVH33" s="551"/>
      <c r="GVI33" s="551"/>
      <c r="GVJ33" s="551"/>
      <c r="GVK33" s="551"/>
      <c r="GVL33" s="551"/>
      <c r="GVM33" s="551"/>
      <c r="GVN33" s="551"/>
      <c r="GVO33" s="551"/>
      <c r="GVP33" s="551"/>
      <c r="GVQ33" s="551"/>
      <c r="GVR33" s="551"/>
      <c r="GVS33" s="551"/>
      <c r="GVT33" s="551"/>
      <c r="GVU33" s="551"/>
      <c r="GVV33" s="551"/>
      <c r="GVW33" s="551"/>
      <c r="GVX33" s="551"/>
      <c r="GVY33" s="551"/>
      <c r="GVZ33" s="551"/>
      <c r="GWA33" s="551"/>
      <c r="GWB33" s="551"/>
      <c r="GWC33" s="551"/>
      <c r="GWD33" s="551"/>
      <c r="GWE33" s="551"/>
      <c r="GWF33" s="551"/>
      <c r="GWG33" s="551"/>
      <c r="GWH33" s="551"/>
      <c r="GWI33" s="551"/>
      <c r="GWJ33" s="551"/>
      <c r="GWK33" s="551"/>
      <c r="GWL33" s="551"/>
      <c r="GWM33" s="551"/>
      <c r="GWN33" s="551"/>
      <c r="GWO33" s="551"/>
      <c r="GWP33" s="551"/>
      <c r="GWQ33" s="551"/>
      <c r="GWR33" s="551"/>
      <c r="GWS33" s="551"/>
      <c r="GWT33" s="551"/>
      <c r="GWU33" s="551"/>
      <c r="GWV33" s="551"/>
      <c r="GWW33" s="551"/>
      <c r="GWX33" s="551"/>
      <c r="GWY33" s="551"/>
      <c r="GWZ33" s="551"/>
      <c r="GXA33" s="551"/>
      <c r="GXB33" s="551"/>
      <c r="GXC33" s="551"/>
      <c r="GXD33" s="551"/>
      <c r="GXE33" s="551"/>
      <c r="GXF33" s="551"/>
      <c r="GXG33" s="551"/>
      <c r="GXH33" s="551"/>
      <c r="GXI33" s="551"/>
      <c r="GXJ33" s="551"/>
      <c r="GXK33" s="551"/>
      <c r="GXL33" s="551"/>
      <c r="GXM33" s="551"/>
      <c r="GXN33" s="551"/>
      <c r="GXO33" s="551"/>
      <c r="GXP33" s="551"/>
      <c r="GXQ33" s="551"/>
      <c r="GXR33" s="551"/>
      <c r="GXS33" s="551"/>
      <c r="GXT33" s="551"/>
      <c r="GXU33" s="551"/>
      <c r="GXV33" s="551"/>
      <c r="GXW33" s="551"/>
      <c r="GXX33" s="551"/>
      <c r="GXY33" s="551"/>
      <c r="GXZ33" s="551"/>
      <c r="GYA33" s="551"/>
      <c r="GYB33" s="551"/>
      <c r="GYC33" s="551"/>
      <c r="GYD33" s="551"/>
      <c r="GYE33" s="551"/>
      <c r="GYF33" s="551"/>
      <c r="GYG33" s="551"/>
      <c r="GYH33" s="551"/>
      <c r="GYI33" s="551"/>
      <c r="GYJ33" s="551"/>
      <c r="GYK33" s="551"/>
      <c r="GYL33" s="551"/>
      <c r="GYM33" s="551"/>
      <c r="GYN33" s="551"/>
      <c r="GYO33" s="551"/>
      <c r="GYP33" s="551"/>
      <c r="GYQ33" s="551"/>
      <c r="GYR33" s="551"/>
      <c r="GYS33" s="551"/>
      <c r="GYT33" s="551"/>
      <c r="GYU33" s="551"/>
      <c r="GYV33" s="551"/>
      <c r="GYW33" s="551"/>
      <c r="GYX33" s="551"/>
      <c r="GYY33" s="551"/>
      <c r="GYZ33" s="551"/>
      <c r="GZA33" s="551"/>
      <c r="GZB33" s="551"/>
      <c r="GZC33" s="551"/>
      <c r="GZD33" s="551"/>
      <c r="GZE33" s="551"/>
      <c r="GZF33" s="551"/>
      <c r="GZG33" s="551"/>
      <c r="GZH33" s="551"/>
      <c r="GZI33" s="551"/>
      <c r="GZJ33" s="551"/>
      <c r="GZK33" s="551"/>
      <c r="GZL33" s="551"/>
      <c r="GZM33" s="551"/>
      <c r="GZN33" s="551"/>
      <c r="GZO33" s="551"/>
      <c r="GZP33" s="551"/>
      <c r="GZQ33" s="551"/>
      <c r="GZR33" s="551"/>
      <c r="GZS33" s="551"/>
      <c r="GZT33" s="551"/>
      <c r="GZU33" s="551"/>
      <c r="GZV33" s="551"/>
      <c r="GZW33" s="551"/>
      <c r="GZX33" s="551"/>
      <c r="GZY33" s="551"/>
      <c r="GZZ33" s="551"/>
      <c r="HAA33" s="551"/>
      <c r="HAB33" s="551"/>
      <c r="HAC33" s="551"/>
      <c r="HAD33" s="551"/>
      <c r="HAE33" s="551"/>
      <c r="HAF33" s="551"/>
      <c r="HAG33" s="551"/>
      <c r="HAH33" s="551"/>
      <c r="HAI33" s="551"/>
      <c r="HAJ33" s="551"/>
      <c r="HAK33" s="551"/>
      <c r="HAL33" s="551"/>
      <c r="HAM33" s="551"/>
      <c r="HAN33" s="551"/>
      <c r="HAO33" s="551"/>
      <c r="HAP33" s="551"/>
      <c r="HAQ33" s="551"/>
      <c r="HAR33" s="551"/>
      <c r="HAS33" s="551"/>
      <c r="HAT33" s="551"/>
      <c r="HAU33" s="551"/>
      <c r="HAV33" s="551"/>
      <c r="HAW33" s="551"/>
      <c r="HAX33" s="551"/>
      <c r="HAY33" s="551"/>
      <c r="HAZ33" s="551"/>
      <c r="HBA33" s="551"/>
      <c r="HBB33" s="551"/>
      <c r="HBC33" s="551"/>
      <c r="HBD33" s="551"/>
      <c r="HBE33" s="551"/>
      <c r="HBF33" s="551"/>
      <c r="HBG33" s="551"/>
      <c r="HBH33" s="551"/>
      <c r="HBI33" s="551"/>
      <c r="HBJ33" s="551"/>
      <c r="HBK33" s="551"/>
      <c r="HBL33" s="551"/>
      <c r="HBM33" s="551"/>
      <c r="HBN33" s="551"/>
      <c r="HBO33" s="551"/>
      <c r="HBP33" s="551"/>
      <c r="HBQ33" s="551"/>
      <c r="HBR33" s="551"/>
      <c r="HBS33" s="551"/>
      <c r="HBT33" s="551"/>
      <c r="HBU33" s="551"/>
      <c r="HBV33" s="551"/>
      <c r="HBW33" s="551"/>
      <c r="HBX33" s="551"/>
      <c r="HBY33" s="551"/>
      <c r="HBZ33" s="551"/>
      <c r="HCA33" s="551"/>
      <c r="HCB33" s="551"/>
      <c r="HCC33" s="551"/>
      <c r="HCD33" s="551"/>
      <c r="HCE33" s="551"/>
      <c r="HCF33" s="551"/>
      <c r="HCG33" s="551"/>
      <c r="HCH33" s="551"/>
      <c r="HCI33" s="551"/>
      <c r="HCJ33" s="551"/>
      <c r="HCK33" s="551"/>
      <c r="HCL33" s="551"/>
      <c r="HCM33" s="551"/>
      <c r="HCN33" s="551"/>
      <c r="HCO33" s="551"/>
      <c r="HCP33" s="551"/>
      <c r="HCQ33" s="551"/>
      <c r="HCR33" s="551"/>
      <c r="HCS33" s="551"/>
      <c r="HCT33" s="551"/>
      <c r="HCU33" s="551"/>
      <c r="HCV33" s="551"/>
      <c r="HCW33" s="551"/>
      <c r="HCX33" s="551"/>
      <c r="HCY33" s="551"/>
      <c r="HCZ33" s="551"/>
      <c r="HDA33" s="551"/>
      <c r="HDB33" s="551"/>
      <c r="HDC33" s="551"/>
      <c r="HDD33" s="551"/>
      <c r="HDE33" s="551"/>
      <c r="HDF33" s="551"/>
      <c r="HDG33" s="551"/>
      <c r="HDH33" s="551"/>
      <c r="HDI33" s="551"/>
      <c r="HDJ33" s="551"/>
      <c r="HDK33" s="551"/>
      <c r="HDL33" s="551"/>
      <c r="HDM33" s="551"/>
      <c r="HDN33" s="551"/>
      <c r="HDO33" s="551"/>
      <c r="HDP33" s="551"/>
      <c r="HDQ33" s="551"/>
      <c r="HDR33" s="551"/>
      <c r="HDS33" s="551"/>
      <c r="HDT33" s="551"/>
      <c r="HDU33" s="551"/>
      <c r="HDV33" s="551"/>
      <c r="HDW33" s="551"/>
      <c r="HDX33" s="551"/>
      <c r="HDY33" s="551"/>
      <c r="HDZ33" s="551"/>
      <c r="HEA33" s="551"/>
      <c r="HEB33" s="551"/>
      <c r="HEC33" s="551"/>
      <c r="HED33" s="551"/>
      <c r="HEE33" s="551"/>
      <c r="HEF33" s="551"/>
      <c r="HEG33" s="551"/>
      <c r="HEH33" s="551"/>
      <c r="HEI33" s="551"/>
      <c r="HEJ33" s="551"/>
      <c r="HEK33" s="551"/>
      <c r="HEL33" s="551"/>
      <c r="HEM33" s="551"/>
      <c r="HEN33" s="551"/>
      <c r="HEO33" s="551"/>
      <c r="HEP33" s="551"/>
      <c r="HEQ33" s="551"/>
      <c r="HER33" s="551"/>
      <c r="HES33" s="551"/>
      <c r="HET33" s="551"/>
      <c r="HEU33" s="551"/>
      <c r="HEV33" s="551"/>
      <c r="HEW33" s="551"/>
      <c r="HEX33" s="551"/>
      <c r="HEY33" s="551"/>
      <c r="HEZ33" s="551"/>
      <c r="HFA33" s="551"/>
      <c r="HFB33" s="551"/>
      <c r="HFC33" s="551"/>
      <c r="HFD33" s="551"/>
      <c r="HFE33" s="551"/>
      <c r="HFF33" s="551"/>
      <c r="HFG33" s="551"/>
      <c r="HFH33" s="551"/>
      <c r="HFI33" s="551"/>
      <c r="HFJ33" s="551"/>
      <c r="HFK33" s="551"/>
      <c r="HFL33" s="551"/>
      <c r="HFM33" s="551"/>
      <c r="HFN33" s="551"/>
      <c r="HFO33" s="551"/>
      <c r="HFP33" s="551"/>
      <c r="HFQ33" s="551"/>
      <c r="HFR33" s="551"/>
      <c r="HFS33" s="551"/>
      <c r="HFT33" s="551"/>
      <c r="HFU33" s="551"/>
      <c r="HFV33" s="551"/>
      <c r="HFW33" s="551"/>
      <c r="HFX33" s="551"/>
      <c r="HFY33" s="551"/>
      <c r="HFZ33" s="551"/>
      <c r="HGA33" s="551"/>
      <c r="HGB33" s="551"/>
      <c r="HGC33" s="551"/>
      <c r="HGD33" s="551"/>
      <c r="HGE33" s="551"/>
      <c r="HGF33" s="551"/>
      <c r="HGG33" s="551"/>
      <c r="HGH33" s="551"/>
      <c r="HGI33" s="551"/>
      <c r="HGJ33" s="551"/>
      <c r="HGK33" s="551"/>
      <c r="HGL33" s="551"/>
      <c r="HGM33" s="551"/>
      <c r="HGN33" s="551"/>
      <c r="HGO33" s="551"/>
      <c r="HGP33" s="551"/>
      <c r="HGQ33" s="551"/>
      <c r="HGR33" s="551"/>
      <c r="HGS33" s="551"/>
      <c r="HGT33" s="551"/>
      <c r="HGU33" s="551"/>
      <c r="HGV33" s="551"/>
      <c r="HGW33" s="551"/>
      <c r="HGX33" s="551"/>
      <c r="HGY33" s="551"/>
      <c r="HGZ33" s="551"/>
      <c r="HHA33" s="551"/>
      <c r="HHB33" s="551"/>
      <c r="HHC33" s="551"/>
      <c r="HHD33" s="551"/>
      <c r="HHE33" s="551"/>
      <c r="HHF33" s="551"/>
      <c r="HHG33" s="551"/>
      <c r="HHH33" s="551"/>
      <c r="HHI33" s="551"/>
      <c r="HHJ33" s="551"/>
      <c r="HHK33" s="551"/>
      <c r="HHL33" s="551"/>
      <c r="HHM33" s="551"/>
      <c r="HHN33" s="551"/>
      <c r="HHO33" s="551"/>
      <c r="HHP33" s="551"/>
      <c r="HHQ33" s="551"/>
      <c r="HHR33" s="551"/>
      <c r="HHS33" s="551"/>
      <c r="HHT33" s="551"/>
      <c r="HHU33" s="551"/>
      <c r="HHV33" s="551"/>
      <c r="HHW33" s="551"/>
      <c r="HHX33" s="551"/>
      <c r="HHY33" s="551"/>
      <c r="HHZ33" s="551"/>
      <c r="HIA33" s="551"/>
      <c r="HIB33" s="551"/>
      <c r="HIC33" s="551"/>
      <c r="HID33" s="551"/>
      <c r="HIE33" s="551"/>
      <c r="HIF33" s="551"/>
      <c r="HIG33" s="551"/>
      <c r="HIH33" s="551"/>
      <c r="HII33" s="551"/>
      <c r="HIJ33" s="551"/>
      <c r="HIK33" s="551"/>
      <c r="HIL33" s="551"/>
      <c r="HIM33" s="551"/>
      <c r="HIN33" s="551"/>
      <c r="HIO33" s="551"/>
      <c r="HIP33" s="551"/>
      <c r="HIQ33" s="551"/>
      <c r="HIR33" s="551"/>
      <c r="HIS33" s="551"/>
      <c r="HIT33" s="551"/>
      <c r="HIU33" s="551"/>
      <c r="HIV33" s="551"/>
      <c r="HIW33" s="551"/>
      <c r="HIX33" s="551"/>
      <c r="HIY33" s="551"/>
      <c r="HIZ33" s="551"/>
      <c r="HJA33" s="551"/>
      <c r="HJB33" s="551"/>
      <c r="HJC33" s="551"/>
      <c r="HJD33" s="551"/>
      <c r="HJE33" s="551"/>
      <c r="HJF33" s="551"/>
      <c r="HJG33" s="551"/>
      <c r="HJH33" s="551"/>
      <c r="HJI33" s="551"/>
      <c r="HJJ33" s="551"/>
      <c r="HJK33" s="551"/>
      <c r="HJL33" s="551"/>
      <c r="HJM33" s="551"/>
      <c r="HJN33" s="551"/>
      <c r="HJO33" s="551"/>
      <c r="HJP33" s="551"/>
      <c r="HJQ33" s="551"/>
      <c r="HJR33" s="551"/>
      <c r="HJS33" s="551"/>
      <c r="HJT33" s="551"/>
      <c r="HJU33" s="551"/>
      <c r="HJV33" s="551"/>
      <c r="HJW33" s="551"/>
      <c r="HJX33" s="551"/>
      <c r="HJY33" s="551"/>
      <c r="HJZ33" s="551"/>
      <c r="HKA33" s="551"/>
      <c r="HKB33" s="551"/>
      <c r="HKC33" s="551"/>
      <c r="HKD33" s="551"/>
      <c r="HKE33" s="551"/>
      <c r="HKF33" s="551"/>
      <c r="HKG33" s="551"/>
      <c r="HKH33" s="551"/>
      <c r="HKI33" s="551"/>
      <c r="HKJ33" s="551"/>
      <c r="HKK33" s="551"/>
      <c r="HKL33" s="551"/>
      <c r="HKM33" s="551"/>
      <c r="HKN33" s="551"/>
      <c r="HKO33" s="551"/>
      <c r="HKP33" s="551"/>
      <c r="HKQ33" s="551"/>
      <c r="HKR33" s="551"/>
      <c r="HKS33" s="551"/>
      <c r="HKT33" s="551"/>
      <c r="HKU33" s="551"/>
      <c r="HKV33" s="551"/>
      <c r="HKW33" s="551"/>
      <c r="HKX33" s="551"/>
      <c r="HKY33" s="551"/>
      <c r="HKZ33" s="551"/>
      <c r="HLA33" s="551"/>
      <c r="HLB33" s="551"/>
      <c r="HLC33" s="551"/>
      <c r="HLD33" s="551"/>
      <c r="HLE33" s="551"/>
      <c r="HLF33" s="551"/>
      <c r="HLG33" s="551"/>
      <c r="HLH33" s="551"/>
      <c r="HLI33" s="551"/>
      <c r="HLJ33" s="551"/>
      <c r="HLK33" s="551"/>
      <c r="HLL33" s="551"/>
      <c r="HLM33" s="551"/>
      <c r="HLN33" s="551"/>
      <c r="HLO33" s="551"/>
      <c r="HLP33" s="551"/>
      <c r="HLQ33" s="551"/>
      <c r="HLR33" s="551"/>
      <c r="HLS33" s="551"/>
      <c r="HLT33" s="551"/>
      <c r="HLU33" s="551"/>
      <c r="HLV33" s="551"/>
      <c r="HLW33" s="551"/>
      <c r="HLX33" s="551"/>
      <c r="HLY33" s="551"/>
      <c r="HLZ33" s="551"/>
      <c r="HMA33" s="551"/>
      <c r="HMB33" s="551"/>
      <c r="HMC33" s="551"/>
      <c r="HMD33" s="551"/>
      <c r="HME33" s="551"/>
      <c r="HMF33" s="551"/>
      <c r="HMG33" s="551"/>
      <c r="HMH33" s="551"/>
      <c r="HMI33" s="551"/>
      <c r="HMJ33" s="551"/>
      <c r="HMK33" s="551"/>
      <c r="HML33" s="551"/>
      <c r="HMM33" s="551"/>
      <c r="HMN33" s="551"/>
      <c r="HMO33" s="551"/>
      <c r="HMP33" s="551"/>
      <c r="HMQ33" s="551"/>
      <c r="HMR33" s="551"/>
      <c r="HMS33" s="551"/>
      <c r="HMT33" s="551"/>
      <c r="HMU33" s="551"/>
      <c r="HMV33" s="551"/>
      <c r="HMW33" s="551"/>
      <c r="HMX33" s="551"/>
      <c r="HMY33" s="551"/>
      <c r="HMZ33" s="551"/>
      <c r="HNA33" s="551"/>
      <c r="HNB33" s="551"/>
      <c r="HNC33" s="551"/>
      <c r="HND33" s="551"/>
      <c r="HNE33" s="551"/>
      <c r="HNF33" s="551"/>
      <c r="HNG33" s="551"/>
      <c r="HNH33" s="551"/>
      <c r="HNI33" s="551"/>
      <c r="HNJ33" s="551"/>
      <c r="HNK33" s="551"/>
      <c r="HNL33" s="551"/>
      <c r="HNM33" s="551"/>
      <c r="HNN33" s="551"/>
      <c r="HNO33" s="551"/>
      <c r="HNP33" s="551"/>
      <c r="HNQ33" s="551"/>
      <c r="HNR33" s="551"/>
      <c r="HNS33" s="551"/>
      <c r="HNT33" s="551"/>
      <c r="HNU33" s="551"/>
      <c r="HNV33" s="551"/>
      <c r="HNW33" s="551"/>
      <c r="HNX33" s="551"/>
      <c r="HNY33" s="551"/>
      <c r="HNZ33" s="551"/>
      <c r="HOA33" s="551"/>
      <c r="HOB33" s="551"/>
      <c r="HOC33" s="551"/>
      <c r="HOD33" s="551"/>
      <c r="HOE33" s="551"/>
      <c r="HOF33" s="551"/>
      <c r="HOG33" s="551"/>
      <c r="HOH33" s="551"/>
      <c r="HOI33" s="551"/>
      <c r="HOJ33" s="551"/>
      <c r="HOK33" s="551"/>
      <c r="HOL33" s="551"/>
      <c r="HOM33" s="551"/>
      <c r="HON33" s="551"/>
      <c r="HOO33" s="551"/>
      <c r="HOP33" s="551"/>
      <c r="HOQ33" s="551"/>
      <c r="HOR33" s="551"/>
      <c r="HOS33" s="551"/>
      <c r="HOT33" s="551"/>
      <c r="HOU33" s="551"/>
      <c r="HOV33" s="551"/>
      <c r="HOW33" s="551"/>
      <c r="HOX33" s="551"/>
      <c r="HOY33" s="551"/>
      <c r="HOZ33" s="551"/>
      <c r="HPA33" s="551"/>
      <c r="HPB33" s="551"/>
      <c r="HPC33" s="551"/>
      <c r="HPD33" s="551"/>
      <c r="HPE33" s="551"/>
      <c r="HPF33" s="551"/>
      <c r="HPG33" s="551"/>
      <c r="HPH33" s="551"/>
      <c r="HPI33" s="551"/>
      <c r="HPJ33" s="551"/>
      <c r="HPK33" s="551"/>
      <c r="HPL33" s="551"/>
      <c r="HPM33" s="551"/>
      <c r="HPN33" s="551"/>
      <c r="HPO33" s="551"/>
      <c r="HPP33" s="551"/>
      <c r="HPQ33" s="551"/>
      <c r="HPR33" s="551"/>
      <c r="HPS33" s="551"/>
      <c r="HPT33" s="551"/>
      <c r="HPU33" s="551"/>
      <c r="HPV33" s="551"/>
      <c r="HPW33" s="551"/>
      <c r="HPX33" s="551"/>
      <c r="HPY33" s="551"/>
      <c r="HPZ33" s="551"/>
      <c r="HQA33" s="551"/>
      <c r="HQB33" s="551"/>
      <c r="HQC33" s="551"/>
      <c r="HQD33" s="551"/>
      <c r="HQE33" s="551"/>
      <c r="HQF33" s="551"/>
      <c r="HQG33" s="551"/>
      <c r="HQH33" s="551"/>
      <c r="HQI33" s="551"/>
      <c r="HQJ33" s="551"/>
      <c r="HQK33" s="551"/>
      <c r="HQL33" s="551"/>
      <c r="HQM33" s="551"/>
      <c r="HQN33" s="551"/>
      <c r="HQO33" s="551"/>
      <c r="HQP33" s="551"/>
      <c r="HQQ33" s="551"/>
      <c r="HQR33" s="551"/>
      <c r="HQS33" s="551"/>
      <c r="HQT33" s="551"/>
      <c r="HQU33" s="551"/>
      <c r="HQV33" s="551"/>
      <c r="HQW33" s="551"/>
      <c r="HQX33" s="551"/>
      <c r="HQY33" s="551"/>
      <c r="HQZ33" s="551"/>
      <c r="HRA33" s="551"/>
      <c r="HRB33" s="551"/>
      <c r="HRC33" s="551"/>
      <c r="HRD33" s="551"/>
      <c r="HRE33" s="551"/>
      <c r="HRF33" s="551"/>
      <c r="HRG33" s="551"/>
      <c r="HRH33" s="551"/>
      <c r="HRI33" s="551"/>
      <c r="HRJ33" s="551"/>
      <c r="HRK33" s="551"/>
      <c r="HRL33" s="551"/>
      <c r="HRM33" s="551"/>
      <c r="HRN33" s="551"/>
      <c r="HRO33" s="551"/>
      <c r="HRP33" s="551"/>
      <c r="HRQ33" s="551"/>
      <c r="HRR33" s="551"/>
      <c r="HRS33" s="551"/>
      <c r="HRT33" s="551"/>
      <c r="HRU33" s="551"/>
      <c r="HRV33" s="551"/>
      <c r="HRW33" s="551"/>
      <c r="HRX33" s="551"/>
      <c r="HRY33" s="551"/>
      <c r="HRZ33" s="551"/>
      <c r="HSA33" s="551"/>
      <c r="HSB33" s="551"/>
      <c r="HSC33" s="551"/>
      <c r="HSD33" s="551"/>
      <c r="HSE33" s="551"/>
      <c r="HSF33" s="551"/>
      <c r="HSG33" s="551"/>
      <c r="HSH33" s="551"/>
      <c r="HSI33" s="551"/>
      <c r="HSJ33" s="551"/>
      <c r="HSK33" s="551"/>
      <c r="HSL33" s="551"/>
      <c r="HSM33" s="551"/>
      <c r="HSN33" s="551"/>
      <c r="HSO33" s="551"/>
      <c r="HSP33" s="551"/>
      <c r="HSQ33" s="551"/>
      <c r="HSR33" s="551"/>
      <c r="HSS33" s="551"/>
      <c r="HST33" s="551"/>
      <c r="HSU33" s="551"/>
      <c r="HSV33" s="551"/>
      <c r="HSW33" s="551"/>
      <c r="HSX33" s="551"/>
      <c r="HSY33" s="551"/>
      <c r="HSZ33" s="551"/>
      <c r="HTA33" s="551"/>
      <c r="HTB33" s="551"/>
      <c r="HTC33" s="551"/>
      <c r="HTD33" s="551"/>
      <c r="HTE33" s="551"/>
      <c r="HTF33" s="551"/>
      <c r="HTG33" s="551"/>
      <c r="HTH33" s="551"/>
      <c r="HTI33" s="551"/>
      <c r="HTJ33" s="551"/>
      <c r="HTK33" s="551"/>
      <c r="HTL33" s="551"/>
      <c r="HTM33" s="551"/>
      <c r="HTN33" s="551"/>
      <c r="HTO33" s="551"/>
      <c r="HTP33" s="551"/>
      <c r="HTQ33" s="551"/>
      <c r="HTR33" s="551"/>
      <c r="HTS33" s="551"/>
      <c r="HTT33" s="551"/>
      <c r="HTU33" s="551"/>
      <c r="HTV33" s="551"/>
      <c r="HTW33" s="551"/>
      <c r="HTX33" s="551"/>
      <c r="HTY33" s="551"/>
      <c r="HTZ33" s="551"/>
      <c r="HUA33" s="551"/>
      <c r="HUB33" s="551"/>
      <c r="HUC33" s="551"/>
      <c r="HUD33" s="551"/>
      <c r="HUE33" s="551"/>
      <c r="HUF33" s="551"/>
      <c r="HUG33" s="551"/>
      <c r="HUH33" s="551"/>
      <c r="HUI33" s="551"/>
      <c r="HUJ33" s="551"/>
      <c r="HUK33" s="551"/>
      <c r="HUL33" s="551"/>
      <c r="HUM33" s="551"/>
      <c r="HUN33" s="551"/>
      <c r="HUO33" s="551"/>
      <c r="HUP33" s="551"/>
      <c r="HUQ33" s="551"/>
      <c r="HUR33" s="551"/>
      <c r="HUS33" s="551"/>
      <c r="HUT33" s="551"/>
      <c r="HUU33" s="551"/>
      <c r="HUV33" s="551"/>
      <c r="HUW33" s="551"/>
      <c r="HUX33" s="551"/>
      <c r="HUY33" s="551"/>
      <c r="HUZ33" s="551"/>
      <c r="HVA33" s="551"/>
      <c r="HVB33" s="551"/>
      <c r="HVC33" s="551"/>
      <c r="HVD33" s="551"/>
      <c r="HVE33" s="551"/>
      <c r="HVF33" s="551"/>
      <c r="HVG33" s="551"/>
      <c r="HVH33" s="551"/>
      <c r="HVI33" s="551"/>
      <c r="HVJ33" s="551"/>
      <c r="HVK33" s="551"/>
      <c r="HVL33" s="551"/>
      <c r="HVM33" s="551"/>
      <c r="HVN33" s="551"/>
      <c r="HVO33" s="551"/>
      <c r="HVP33" s="551"/>
      <c r="HVQ33" s="551"/>
      <c r="HVR33" s="551"/>
      <c r="HVS33" s="551"/>
      <c r="HVT33" s="551"/>
      <c r="HVU33" s="551"/>
      <c r="HVV33" s="551"/>
      <c r="HVW33" s="551"/>
      <c r="HVX33" s="551"/>
      <c r="HVY33" s="551"/>
      <c r="HVZ33" s="551"/>
      <c r="HWA33" s="551"/>
      <c r="HWB33" s="551"/>
      <c r="HWC33" s="551"/>
      <c r="HWD33" s="551"/>
      <c r="HWE33" s="551"/>
      <c r="HWF33" s="551"/>
      <c r="HWG33" s="551"/>
      <c r="HWH33" s="551"/>
      <c r="HWI33" s="551"/>
      <c r="HWJ33" s="551"/>
      <c r="HWK33" s="551"/>
      <c r="HWL33" s="551"/>
      <c r="HWM33" s="551"/>
      <c r="HWN33" s="551"/>
      <c r="HWO33" s="551"/>
      <c r="HWP33" s="551"/>
      <c r="HWQ33" s="551"/>
      <c r="HWR33" s="551"/>
      <c r="HWS33" s="551"/>
      <c r="HWT33" s="551"/>
      <c r="HWU33" s="551"/>
      <c r="HWV33" s="551"/>
      <c r="HWW33" s="551"/>
      <c r="HWX33" s="551"/>
      <c r="HWY33" s="551"/>
      <c r="HWZ33" s="551"/>
      <c r="HXA33" s="551"/>
      <c r="HXB33" s="551"/>
      <c r="HXC33" s="551"/>
      <c r="HXD33" s="551"/>
      <c r="HXE33" s="551"/>
      <c r="HXF33" s="551"/>
      <c r="HXG33" s="551"/>
      <c r="HXH33" s="551"/>
      <c r="HXI33" s="551"/>
      <c r="HXJ33" s="551"/>
      <c r="HXK33" s="551"/>
      <c r="HXL33" s="551"/>
      <c r="HXM33" s="551"/>
      <c r="HXN33" s="551"/>
      <c r="HXO33" s="551"/>
      <c r="HXP33" s="551"/>
      <c r="HXQ33" s="551"/>
      <c r="HXR33" s="551"/>
      <c r="HXS33" s="551"/>
      <c r="HXT33" s="551"/>
      <c r="HXU33" s="551"/>
      <c r="HXV33" s="551"/>
      <c r="HXW33" s="551"/>
      <c r="HXX33" s="551"/>
      <c r="HXY33" s="551"/>
      <c r="HXZ33" s="551"/>
      <c r="HYA33" s="551"/>
      <c r="HYB33" s="551"/>
      <c r="HYC33" s="551"/>
      <c r="HYD33" s="551"/>
      <c r="HYE33" s="551"/>
      <c r="HYF33" s="551"/>
      <c r="HYG33" s="551"/>
      <c r="HYH33" s="551"/>
      <c r="HYI33" s="551"/>
      <c r="HYJ33" s="551"/>
      <c r="HYK33" s="551"/>
      <c r="HYL33" s="551"/>
      <c r="HYM33" s="551"/>
      <c r="HYN33" s="551"/>
      <c r="HYO33" s="551"/>
      <c r="HYP33" s="551"/>
      <c r="HYQ33" s="551"/>
      <c r="HYR33" s="551"/>
      <c r="HYS33" s="551"/>
      <c r="HYT33" s="551"/>
      <c r="HYU33" s="551"/>
      <c r="HYV33" s="551"/>
      <c r="HYW33" s="551"/>
      <c r="HYX33" s="551"/>
      <c r="HYY33" s="551"/>
      <c r="HYZ33" s="551"/>
      <c r="HZA33" s="551"/>
      <c r="HZB33" s="551"/>
      <c r="HZC33" s="551"/>
      <c r="HZD33" s="551"/>
      <c r="HZE33" s="551"/>
      <c r="HZF33" s="551"/>
      <c r="HZG33" s="551"/>
      <c r="HZH33" s="551"/>
      <c r="HZI33" s="551"/>
      <c r="HZJ33" s="551"/>
      <c r="HZK33" s="551"/>
      <c r="HZL33" s="551"/>
      <c r="HZM33" s="551"/>
      <c r="HZN33" s="551"/>
      <c r="HZO33" s="551"/>
      <c r="HZP33" s="551"/>
      <c r="HZQ33" s="551"/>
      <c r="HZR33" s="551"/>
      <c r="HZS33" s="551"/>
      <c r="HZT33" s="551"/>
      <c r="HZU33" s="551"/>
      <c r="HZV33" s="551"/>
      <c r="HZW33" s="551"/>
      <c r="HZX33" s="551"/>
      <c r="HZY33" s="551"/>
      <c r="HZZ33" s="551"/>
      <c r="IAA33" s="551"/>
      <c r="IAB33" s="551"/>
      <c r="IAC33" s="551"/>
      <c r="IAD33" s="551"/>
      <c r="IAE33" s="551"/>
      <c r="IAF33" s="551"/>
      <c r="IAG33" s="551"/>
      <c r="IAH33" s="551"/>
      <c r="IAI33" s="551"/>
      <c r="IAJ33" s="551"/>
      <c r="IAK33" s="551"/>
      <c r="IAL33" s="551"/>
      <c r="IAM33" s="551"/>
      <c r="IAN33" s="551"/>
      <c r="IAO33" s="551"/>
      <c r="IAP33" s="551"/>
      <c r="IAQ33" s="551"/>
      <c r="IAR33" s="551"/>
      <c r="IAS33" s="551"/>
      <c r="IAT33" s="551"/>
      <c r="IAU33" s="551"/>
      <c r="IAV33" s="551"/>
      <c r="IAW33" s="551"/>
      <c r="IAX33" s="551"/>
      <c r="IAY33" s="551"/>
      <c r="IAZ33" s="551"/>
      <c r="IBA33" s="551"/>
      <c r="IBB33" s="551"/>
      <c r="IBC33" s="551"/>
      <c r="IBD33" s="551"/>
      <c r="IBE33" s="551"/>
      <c r="IBF33" s="551"/>
      <c r="IBG33" s="551"/>
      <c r="IBH33" s="551"/>
      <c r="IBI33" s="551"/>
      <c r="IBJ33" s="551"/>
      <c r="IBK33" s="551"/>
      <c r="IBL33" s="551"/>
      <c r="IBM33" s="551"/>
      <c r="IBN33" s="551"/>
      <c r="IBO33" s="551"/>
      <c r="IBP33" s="551"/>
      <c r="IBQ33" s="551"/>
      <c r="IBR33" s="551"/>
      <c r="IBS33" s="551"/>
      <c r="IBT33" s="551"/>
      <c r="IBU33" s="551"/>
      <c r="IBV33" s="551"/>
      <c r="IBW33" s="551"/>
      <c r="IBX33" s="551"/>
      <c r="IBY33" s="551"/>
      <c r="IBZ33" s="551"/>
      <c r="ICA33" s="551"/>
      <c r="ICB33" s="551"/>
      <c r="ICC33" s="551"/>
      <c r="ICD33" s="551"/>
      <c r="ICE33" s="551"/>
      <c r="ICF33" s="551"/>
      <c r="ICG33" s="551"/>
      <c r="ICH33" s="551"/>
      <c r="ICI33" s="551"/>
      <c r="ICJ33" s="551"/>
      <c r="ICK33" s="551"/>
      <c r="ICL33" s="551"/>
      <c r="ICM33" s="551"/>
      <c r="ICN33" s="551"/>
      <c r="ICO33" s="551"/>
      <c r="ICP33" s="551"/>
      <c r="ICQ33" s="551"/>
      <c r="ICR33" s="551"/>
      <c r="ICS33" s="551"/>
      <c r="ICT33" s="551"/>
      <c r="ICU33" s="551"/>
      <c r="ICV33" s="551"/>
      <c r="ICW33" s="551"/>
      <c r="ICX33" s="551"/>
      <c r="ICY33" s="551"/>
      <c r="ICZ33" s="551"/>
      <c r="IDA33" s="551"/>
      <c r="IDB33" s="551"/>
      <c r="IDC33" s="551"/>
      <c r="IDD33" s="551"/>
      <c r="IDE33" s="551"/>
      <c r="IDF33" s="551"/>
      <c r="IDG33" s="551"/>
      <c r="IDH33" s="551"/>
      <c r="IDI33" s="551"/>
      <c r="IDJ33" s="551"/>
      <c r="IDK33" s="551"/>
      <c r="IDL33" s="551"/>
      <c r="IDM33" s="551"/>
      <c r="IDN33" s="551"/>
      <c r="IDO33" s="551"/>
      <c r="IDP33" s="551"/>
      <c r="IDQ33" s="551"/>
      <c r="IDR33" s="551"/>
      <c r="IDS33" s="551"/>
      <c r="IDT33" s="551"/>
      <c r="IDU33" s="551"/>
      <c r="IDV33" s="551"/>
      <c r="IDW33" s="551"/>
      <c r="IDX33" s="551"/>
      <c r="IDY33" s="551"/>
      <c r="IDZ33" s="551"/>
      <c r="IEA33" s="551"/>
      <c r="IEB33" s="551"/>
      <c r="IEC33" s="551"/>
      <c r="IED33" s="551"/>
      <c r="IEE33" s="551"/>
      <c r="IEF33" s="551"/>
      <c r="IEG33" s="551"/>
      <c r="IEH33" s="551"/>
      <c r="IEI33" s="551"/>
      <c r="IEJ33" s="551"/>
      <c r="IEK33" s="551"/>
      <c r="IEL33" s="551"/>
      <c r="IEM33" s="551"/>
      <c r="IEN33" s="551"/>
      <c r="IEO33" s="551"/>
      <c r="IEP33" s="551"/>
      <c r="IEQ33" s="551"/>
      <c r="IER33" s="551"/>
      <c r="IES33" s="551"/>
      <c r="IET33" s="551"/>
      <c r="IEU33" s="551"/>
      <c r="IEV33" s="551"/>
      <c r="IEW33" s="551"/>
      <c r="IEX33" s="551"/>
      <c r="IEY33" s="551"/>
      <c r="IEZ33" s="551"/>
      <c r="IFA33" s="551"/>
      <c r="IFB33" s="551"/>
      <c r="IFC33" s="551"/>
      <c r="IFD33" s="551"/>
      <c r="IFE33" s="551"/>
      <c r="IFF33" s="551"/>
      <c r="IFG33" s="551"/>
      <c r="IFH33" s="551"/>
      <c r="IFI33" s="551"/>
      <c r="IFJ33" s="551"/>
      <c r="IFK33" s="551"/>
      <c r="IFL33" s="551"/>
      <c r="IFM33" s="551"/>
      <c r="IFN33" s="551"/>
      <c r="IFO33" s="551"/>
      <c r="IFP33" s="551"/>
      <c r="IFQ33" s="551"/>
      <c r="IFR33" s="551"/>
      <c r="IFS33" s="551"/>
      <c r="IFT33" s="551"/>
      <c r="IFU33" s="551"/>
      <c r="IFV33" s="551"/>
      <c r="IFW33" s="551"/>
      <c r="IFX33" s="551"/>
      <c r="IFY33" s="551"/>
      <c r="IFZ33" s="551"/>
      <c r="IGA33" s="551"/>
      <c r="IGB33" s="551"/>
      <c r="IGC33" s="551"/>
      <c r="IGD33" s="551"/>
      <c r="IGE33" s="551"/>
      <c r="IGF33" s="551"/>
      <c r="IGG33" s="551"/>
      <c r="IGH33" s="551"/>
      <c r="IGI33" s="551"/>
      <c r="IGJ33" s="551"/>
      <c r="IGK33" s="551"/>
      <c r="IGL33" s="551"/>
      <c r="IGM33" s="551"/>
      <c r="IGN33" s="551"/>
      <c r="IGO33" s="551"/>
      <c r="IGP33" s="551"/>
      <c r="IGQ33" s="551"/>
      <c r="IGR33" s="551"/>
      <c r="IGS33" s="551"/>
      <c r="IGT33" s="551"/>
      <c r="IGU33" s="551"/>
      <c r="IGV33" s="551"/>
      <c r="IGW33" s="551"/>
      <c r="IGX33" s="551"/>
      <c r="IGY33" s="551"/>
      <c r="IGZ33" s="551"/>
      <c r="IHA33" s="551"/>
      <c r="IHB33" s="551"/>
      <c r="IHC33" s="551"/>
      <c r="IHD33" s="551"/>
      <c r="IHE33" s="551"/>
      <c r="IHF33" s="551"/>
      <c r="IHG33" s="551"/>
      <c r="IHH33" s="551"/>
      <c r="IHI33" s="551"/>
      <c r="IHJ33" s="551"/>
      <c r="IHK33" s="551"/>
      <c r="IHL33" s="551"/>
      <c r="IHM33" s="551"/>
      <c r="IHN33" s="551"/>
      <c r="IHO33" s="551"/>
      <c r="IHP33" s="551"/>
      <c r="IHQ33" s="551"/>
      <c r="IHR33" s="551"/>
      <c r="IHS33" s="551"/>
      <c r="IHT33" s="551"/>
      <c r="IHU33" s="551"/>
      <c r="IHV33" s="551"/>
      <c r="IHW33" s="551"/>
      <c r="IHX33" s="551"/>
      <c r="IHY33" s="551"/>
      <c r="IHZ33" s="551"/>
      <c r="IIA33" s="551"/>
      <c r="IIB33" s="551"/>
      <c r="IIC33" s="551"/>
      <c r="IID33" s="551"/>
      <c r="IIE33" s="551"/>
      <c r="IIF33" s="551"/>
      <c r="IIG33" s="551"/>
      <c r="IIH33" s="551"/>
      <c r="III33" s="551"/>
      <c r="IIJ33" s="551"/>
      <c r="IIK33" s="551"/>
      <c r="IIL33" s="551"/>
      <c r="IIM33" s="551"/>
      <c r="IIN33" s="551"/>
      <c r="IIO33" s="551"/>
      <c r="IIP33" s="551"/>
      <c r="IIQ33" s="551"/>
      <c r="IIR33" s="551"/>
      <c r="IIS33" s="551"/>
      <c r="IIT33" s="551"/>
      <c r="IIU33" s="551"/>
      <c r="IIV33" s="551"/>
      <c r="IIW33" s="551"/>
      <c r="IIX33" s="551"/>
      <c r="IIY33" s="551"/>
      <c r="IIZ33" s="551"/>
      <c r="IJA33" s="551"/>
      <c r="IJB33" s="551"/>
      <c r="IJC33" s="551"/>
      <c r="IJD33" s="551"/>
      <c r="IJE33" s="551"/>
      <c r="IJF33" s="551"/>
      <c r="IJG33" s="551"/>
      <c r="IJH33" s="551"/>
      <c r="IJI33" s="551"/>
      <c r="IJJ33" s="551"/>
      <c r="IJK33" s="551"/>
      <c r="IJL33" s="551"/>
      <c r="IJM33" s="551"/>
      <c r="IJN33" s="551"/>
      <c r="IJO33" s="551"/>
      <c r="IJP33" s="551"/>
      <c r="IJQ33" s="551"/>
      <c r="IJR33" s="551"/>
      <c r="IJS33" s="551"/>
      <c r="IJT33" s="551"/>
      <c r="IJU33" s="551"/>
      <c r="IJV33" s="551"/>
      <c r="IJW33" s="551"/>
      <c r="IJX33" s="551"/>
      <c r="IJY33" s="551"/>
      <c r="IJZ33" s="551"/>
      <c r="IKA33" s="551"/>
      <c r="IKB33" s="551"/>
      <c r="IKC33" s="551"/>
      <c r="IKD33" s="551"/>
      <c r="IKE33" s="551"/>
      <c r="IKF33" s="551"/>
      <c r="IKG33" s="551"/>
      <c r="IKH33" s="551"/>
      <c r="IKI33" s="551"/>
      <c r="IKJ33" s="551"/>
      <c r="IKK33" s="551"/>
      <c r="IKL33" s="551"/>
      <c r="IKM33" s="551"/>
      <c r="IKN33" s="551"/>
      <c r="IKO33" s="551"/>
      <c r="IKP33" s="551"/>
      <c r="IKQ33" s="551"/>
      <c r="IKR33" s="551"/>
      <c r="IKS33" s="551"/>
      <c r="IKT33" s="551"/>
      <c r="IKU33" s="551"/>
      <c r="IKV33" s="551"/>
      <c r="IKW33" s="551"/>
      <c r="IKX33" s="551"/>
      <c r="IKY33" s="551"/>
      <c r="IKZ33" s="551"/>
      <c r="ILA33" s="551"/>
      <c r="ILB33" s="551"/>
      <c r="ILC33" s="551"/>
      <c r="ILD33" s="551"/>
      <c r="ILE33" s="551"/>
      <c r="ILF33" s="551"/>
      <c r="ILG33" s="551"/>
      <c r="ILH33" s="551"/>
      <c r="ILI33" s="551"/>
      <c r="ILJ33" s="551"/>
      <c r="ILK33" s="551"/>
      <c r="ILL33" s="551"/>
      <c r="ILM33" s="551"/>
      <c r="ILN33" s="551"/>
      <c r="ILO33" s="551"/>
      <c r="ILP33" s="551"/>
      <c r="ILQ33" s="551"/>
      <c r="ILR33" s="551"/>
      <c r="ILS33" s="551"/>
      <c r="ILT33" s="551"/>
      <c r="ILU33" s="551"/>
      <c r="ILV33" s="551"/>
      <c r="ILW33" s="551"/>
      <c r="ILX33" s="551"/>
      <c r="ILY33" s="551"/>
      <c r="ILZ33" s="551"/>
      <c r="IMA33" s="551"/>
      <c r="IMB33" s="551"/>
      <c r="IMC33" s="551"/>
      <c r="IMD33" s="551"/>
      <c r="IME33" s="551"/>
      <c r="IMF33" s="551"/>
      <c r="IMG33" s="551"/>
      <c r="IMH33" s="551"/>
      <c r="IMI33" s="551"/>
      <c r="IMJ33" s="551"/>
      <c r="IMK33" s="551"/>
      <c r="IML33" s="551"/>
      <c r="IMM33" s="551"/>
      <c r="IMN33" s="551"/>
      <c r="IMO33" s="551"/>
      <c r="IMP33" s="551"/>
      <c r="IMQ33" s="551"/>
      <c r="IMR33" s="551"/>
      <c r="IMS33" s="551"/>
      <c r="IMT33" s="551"/>
      <c r="IMU33" s="551"/>
      <c r="IMV33" s="551"/>
      <c r="IMW33" s="551"/>
      <c r="IMX33" s="551"/>
      <c r="IMY33" s="551"/>
      <c r="IMZ33" s="551"/>
      <c r="INA33" s="551"/>
      <c r="INB33" s="551"/>
      <c r="INC33" s="551"/>
      <c r="IND33" s="551"/>
      <c r="INE33" s="551"/>
      <c r="INF33" s="551"/>
      <c r="ING33" s="551"/>
      <c r="INH33" s="551"/>
      <c r="INI33" s="551"/>
      <c r="INJ33" s="551"/>
      <c r="INK33" s="551"/>
      <c r="INL33" s="551"/>
      <c r="INM33" s="551"/>
      <c r="INN33" s="551"/>
      <c r="INO33" s="551"/>
      <c r="INP33" s="551"/>
      <c r="INQ33" s="551"/>
      <c r="INR33" s="551"/>
      <c r="INS33" s="551"/>
      <c r="INT33" s="551"/>
      <c r="INU33" s="551"/>
      <c r="INV33" s="551"/>
      <c r="INW33" s="551"/>
      <c r="INX33" s="551"/>
      <c r="INY33" s="551"/>
      <c r="INZ33" s="551"/>
      <c r="IOA33" s="551"/>
      <c r="IOB33" s="551"/>
      <c r="IOC33" s="551"/>
      <c r="IOD33" s="551"/>
      <c r="IOE33" s="551"/>
      <c r="IOF33" s="551"/>
      <c r="IOG33" s="551"/>
      <c r="IOH33" s="551"/>
      <c r="IOI33" s="551"/>
      <c r="IOJ33" s="551"/>
      <c r="IOK33" s="551"/>
      <c r="IOL33" s="551"/>
      <c r="IOM33" s="551"/>
      <c r="ION33" s="551"/>
      <c r="IOO33" s="551"/>
      <c r="IOP33" s="551"/>
      <c r="IOQ33" s="551"/>
      <c r="IOR33" s="551"/>
      <c r="IOS33" s="551"/>
      <c r="IOT33" s="551"/>
      <c r="IOU33" s="551"/>
      <c r="IOV33" s="551"/>
      <c r="IOW33" s="551"/>
      <c r="IOX33" s="551"/>
      <c r="IOY33" s="551"/>
      <c r="IOZ33" s="551"/>
      <c r="IPA33" s="551"/>
      <c r="IPB33" s="551"/>
      <c r="IPC33" s="551"/>
      <c r="IPD33" s="551"/>
      <c r="IPE33" s="551"/>
      <c r="IPF33" s="551"/>
      <c r="IPG33" s="551"/>
      <c r="IPH33" s="551"/>
      <c r="IPI33" s="551"/>
      <c r="IPJ33" s="551"/>
      <c r="IPK33" s="551"/>
      <c r="IPL33" s="551"/>
      <c r="IPM33" s="551"/>
      <c r="IPN33" s="551"/>
      <c r="IPO33" s="551"/>
      <c r="IPP33" s="551"/>
      <c r="IPQ33" s="551"/>
      <c r="IPR33" s="551"/>
      <c r="IPS33" s="551"/>
      <c r="IPT33" s="551"/>
      <c r="IPU33" s="551"/>
      <c r="IPV33" s="551"/>
      <c r="IPW33" s="551"/>
      <c r="IPX33" s="551"/>
      <c r="IPY33" s="551"/>
      <c r="IPZ33" s="551"/>
      <c r="IQA33" s="551"/>
      <c r="IQB33" s="551"/>
      <c r="IQC33" s="551"/>
      <c r="IQD33" s="551"/>
      <c r="IQE33" s="551"/>
      <c r="IQF33" s="551"/>
      <c r="IQG33" s="551"/>
      <c r="IQH33" s="551"/>
      <c r="IQI33" s="551"/>
      <c r="IQJ33" s="551"/>
      <c r="IQK33" s="551"/>
      <c r="IQL33" s="551"/>
      <c r="IQM33" s="551"/>
      <c r="IQN33" s="551"/>
      <c r="IQO33" s="551"/>
      <c r="IQP33" s="551"/>
      <c r="IQQ33" s="551"/>
      <c r="IQR33" s="551"/>
      <c r="IQS33" s="551"/>
      <c r="IQT33" s="551"/>
      <c r="IQU33" s="551"/>
      <c r="IQV33" s="551"/>
      <c r="IQW33" s="551"/>
      <c r="IQX33" s="551"/>
      <c r="IQY33" s="551"/>
      <c r="IQZ33" s="551"/>
      <c r="IRA33" s="551"/>
      <c r="IRB33" s="551"/>
      <c r="IRC33" s="551"/>
      <c r="IRD33" s="551"/>
      <c r="IRE33" s="551"/>
      <c r="IRF33" s="551"/>
      <c r="IRG33" s="551"/>
      <c r="IRH33" s="551"/>
      <c r="IRI33" s="551"/>
      <c r="IRJ33" s="551"/>
      <c r="IRK33" s="551"/>
      <c r="IRL33" s="551"/>
      <c r="IRM33" s="551"/>
      <c r="IRN33" s="551"/>
      <c r="IRO33" s="551"/>
      <c r="IRP33" s="551"/>
      <c r="IRQ33" s="551"/>
      <c r="IRR33" s="551"/>
      <c r="IRS33" s="551"/>
      <c r="IRT33" s="551"/>
      <c r="IRU33" s="551"/>
      <c r="IRV33" s="551"/>
      <c r="IRW33" s="551"/>
      <c r="IRX33" s="551"/>
      <c r="IRY33" s="551"/>
      <c r="IRZ33" s="551"/>
      <c r="ISA33" s="551"/>
      <c r="ISB33" s="551"/>
      <c r="ISC33" s="551"/>
      <c r="ISD33" s="551"/>
      <c r="ISE33" s="551"/>
      <c r="ISF33" s="551"/>
      <c r="ISG33" s="551"/>
      <c r="ISH33" s="551"/>
      <c r="ISI33" s="551"/>
      <c r="ISJ33" s="551"/>
      <c r="ISK33" s="551"/>
      <c r="ISL33" s="551"/>
      <c r="ISM33" s="551"/>
      <c r="ISN33" s="551"/>
      <c r="ISO33" s="551"/>
      <c r="ISP33" s="551"/>
      <c r="ISQ33" s="551"/>
      <c r="ISR33" s="551"/>
      <c r="ISS33" s="551"/>
      <c r="IST33" s="551"/>
      <c r="ISU33" s="551"/>
      <c r="ISV33" s="551"/>
      <c r="ISW33" s="551"/>
      <c r="ISX33" s="551"/>
      <c r="ISY33" s="551"/>
      <c r="ISZ33" s="551"/>
      <c r="ITA33" s="551"/>
      <c r="ITB33" s="551"/>
      <c r="ITC33" s="551"/>
      <c r="ITD33" s="551"/>
      <c r="ITE33" s="551"/>
      <c r="ITF33" s="551"/>
      <c r="ITG33" s="551"/>
      <c r="ITH33" s="551"/>
      <c r="ITI33" s="551"/>
      <c r="ITJ33" s="551"/>
      <c r="ITK33" s="551"/>
      <c r="ITL33" s="551"/>
      <c r="ITM33" s="551"/>
      <c r="ITN33" s="551"/>
      <c r="ITO33" s="551"/>
      <c r="ITP33" s="551"/>
      <c r="ITQ33" s="551"/>
      <c r="ITR33" s="551"/>
      <c r="ITS33" s="551"/>
      <c r="ITT33" s="551"/>
      <c r="ITU33" s="551"/>
      <c r="ITV33" s="551"/>
      <c r="ITW33" s="551"/>
      <c r="ITX33" s="551"/>
      <c r="ITY33" s="551"/>
      <c r="ITZ33" s="551"/>
      <c r="IUA33" s="551"/>
      <c r="IUB33" s="551"/>
      <c r="IUC33" s="551"/>
      <c r="IUD33" s="551"/>
      <c r="IUE33" s="551"/>
      <c r="IUF33" s="551"/>
      <c r="IUG33" s="551"/>
      <c r="IUH33" s="551"/>
      <c r="IUI33" s="551"/>
      <c r="IUJ33" s="551"/>
      <c r="IUK33" s="551"/>
      <c r="IUL33" s="551"/>
      <c r="IUM33" s="551"/>
      <c r="IUN33" s="551"/>
      <c r="IUO33" s="551"/>
      <c r="IUP33" s="551"/>
      <c r="IUQ33" s="551"/>
      <c r="IUR33" s="551"/>
      <c r="IUS33" s="551"/>
      <c r="IUT33" s="551"/>
      <c r="IUU33" s="551"/>
      <c r="IUV33" s="551"/>
      <c r="IUW33" s="551"/>
      <c r="IUX33" s="551"/>
      <c r="IUY33" s="551"/>
      <c r="IUZ33" s="551"/>
      <c r="IVA33" s="551"/>
      <c r="IVB33" s="551"/>
      <c r="IVC33" s="551"/>
      <c r="IVD33" s="551"/>
      <c r="IVE33" s="551"/>
      <c r="IVF33" s="551"/>
      <c r="IVG33" s="551"/>
      <c r="IVH33" s="551"/>
      <c r="IVI33" s="551"/>
      <c r="IVJ33" s="551"/>
      <c r="IVK33" s="551"/>
      <c r="IVL33" s="551"/>
      <c r="IVM33" s="551"/>
      <c r="IVN33" s="551"/>
      <c r="IVO33" s="551"/>
      <c r="IVP33" s="551"/>
      <c r="IVQ33" s="551"/>
      <c r="IVR33" s="551"/>
      <c r="IVS33" s="551"/>
      <c r="IVT33" s="551"/>
      <c r="IVU33" s="551"/>
      <c r="IVV33" s="551"/>
      <c r="IVW33" s="551"/>
      <c r="IVX33" s="551"/>
      <c r="IVY33" s="551"/>
      <c r="IVZ33" s="551"/>
      <c r="IWA33" s="551"/>
      <c r="IWB33" s="551"/>
      <c r="IWC33" s="551"/>
      <c r="IWD33" s="551"/>
      <c r="IWE33" s="551"/>
      <c r="IWF33" s="551"/>
      <c r="IWG33" s="551"/>
      <c r="IWH33" s="551"/>
      <c r="IWI33" s="551"/>
      <c r="IWJ33" s="551"/>
      <c r="IWK33" s="551"/>
      <c r="IWL33" s="551"/>
      <c r="IWM33" s="551"/>
      <c r="IWN33" s="551"/>
      <c r="IWO33" s="551"/>
      <c r="IWP33" s="551"/>
      <c r="IWQ33" s="551"/>
      <c r="IWR33" s="551"/>
      <c r="IWS33" s="551"/>
      <c r="IWT33" s="551"/>
      <c r="IWU33" s="551"/>
      <c r="IWV33" s="551"/>
      <c r="IWW33" s="551"/>
      <c r="IWX33" s="551"/>
      <c r="IWY33" s="551"/>
      <c r="IWZ33" s="551"/>
      <c r="IXA33" s="551"/>
      <c r="IXB33" s="551"/>
      <c r="IXC33" s="551"/>
      <c r="IXD33" s="551"/>
      <c r="IXE33" s="551"/>
      <c r="IXF33" s="551"/>
      <c r="IXG33" s="551"/>
      <c r="IXH33" s="551"/>
      <c r="IXI33" s="551"/>
      <c r="IXJ33" s="551"/>
      <c r="IXK33" s="551"/>
      <c r="IXL33" s="551"/>
      <c r="IXM33" s="551"/>
      <c r="IXN33" s="551"/>
      <c r="IXO33" s="551"/>
      <c r="IXP33" s="551"/>
      <c r="IXQ33" s="551"/>
      <c r="IXR33" s="551"/>
      <c r="IXS33" s="551"/>
      <c r="IXT33" s="551"/>
      <c r="IXU33" s="551"/>
      <c r="IXV33" s="551"/>
      <c r="IXW33" s="551"/>
      <c r="IXX33" s="551"/>
      <c r="IXY33" s="551"/>
      <c r="IXZ33" s="551"/>
      <c r="IYA33" s="551"/>
      <c r="IYB33" s="551"/>
      <c r="IYC33" s="551"/>
      <c r="IYD33" s="551"/>
      <c r="IYE33" s="551"/>
      <c r="IYF33" s="551"/>
      <c r="IYG33" s="551"/>
      <c r="IYH33" s="551"/>
      <c r="IYI33" s="551"/>
      <c r="IYJ33" s="551"/>
      <c r="IYK33" s="551"/>
      <c r="IYL33" s="551"/>
      <c r="IYM33" s="551"/>
      <c r="IYN33" s="551"/>
      <c r="IYO33" s="551"/>
      <c r="IYP33" s="551"/>
      <c r="IYQ33" s="551"/>
      <c r="IYR33" s="551"/>
      <c r="IYS33" s="551"/>
      <c r="IYT33" s="551"/>
      <c r="IYU33" s="551"/>
      <c r="IYV33" s="551"/>
      <c r="IYW33" s="551"/>
      <c r="IYX33" s="551"/>
      <c r="IYY33" s="551"/>
      <c r="IYZ33" s="551"/>
      <c r="IZA33" s="551"/>
      <c r="IZB33" s="551"/>
      <c r="IZC33" s="551"/>
      <c r="IZD33" s="551"/>
      <c r="IZE33" s="551"/>
      <c r="IZF33" s="551"/>
      <c r="IZG33" s="551"/>
      <c r="IZH33" s="551"/>
      <c r="IZI33" s="551"/>
      <c r="IZJ33" s="551"/>
      <c r="IZK33" s="551"/>
      <c r="IZL33" s="551"/>
      <c r="IZM33" s="551"/>
      <c r="IZN33" s="551"/>
      <c r="IZO33" s="551"/>
      <c r="IZP33" s="551"/>
      <c r="IZQ33" s="551"/>
      <c r="IZR33" s="551"/>
      <c r="IZS33" s="551"/>
      <c r="IZT33" s="551"/>
      <c r="IZU33" s="551"/>
      <c r="IZV33" s="551"/>
      <c r="IZW33" s="551"/>
      <c r="IZX33" s="551"/>
      <c r="IZY33" s="551"/>
      <c r="IZZ33" s="551"/>
      <c r="JAA33" s="551"/>
      <c r="JAB33" s="551"/>
      <c r="JAC33" s="551"/>
      <c r="JAD33" s="551"/>
      <c r="JAE33" s="551"/>
      <c r="JAF33" s="551"/>
      <c r="JAG33" s="551"/>
      <c r="JAH33" s="551"/>
      <c r="JAI33" s="551"/>
      <c r="JAJ33" s="551"/>
      <c r="JAK33" s="551"/>
      <c r="JAL33" s="551"/>
      <c r="JAM33" s="551"/>
      <c r="JAN33" s="551"/>
      <c r="JAO33" s="551"/>
      <c r="JAP33" s="551"/>
      <c r="JAQ33" s="551"/>
      <c r="JAR33" s="551"/>
      <c r="JAS33" s="551"/>
      <c r="JAT33" s="551"/>
      <c r="JAU33" s="551"/>
      <c r="JAV33" s="551"/>
      <c r="JAW33" s="551"/>
      <c r="JAX33" s="551"/>
      <c r="JAY33" s="551"/>
      <c r="JAZ33" s="551"/>
      <c r="JBA33" s="551"/>
      <c r="JBB33" s="551"/>
      <c r="JBC33" s="551"/>
      <c r="JBD33" s="551"/>
      <c r="JBE33" s="551"/>
      <c r="JBF33" s="551"/>
      <c r="JBG33" s="551"/>
      <c r="JBH33" s="551"/>
      <c r="JBI33" s="551"/>
      <c r="JBJ33" s="551"/>
      <c r="JBK33" s="551"/>
      <c r="JBL33" s="551"/>
      <c r="JBM33" s="551"/>
      <c r="JBN33" s="551"/>
      <c r="JBO33" s="551"/>
      <c r="JBP33" s="551"/>
      <c r="JBQ33" s="551"/>
      <c r="JBR33" s="551"/>
      <c r="JBS33" s="551"/>
      <c r="JBT33" s="551"/>
      <c r="JBU33" s="551"/>
      <c r="JBV33" s="551"/>
      <c r="JBW33" s="551"/>
      <c r="JBX33" s="551"/>
      <c r="JBY33" s="551"/>
      <c r="JBZ33" s="551"/>
      <c r="JCA33" s="551"/>
      <c r="JCB33" s="551"/>
      <c r="JCC33" s="551"/>
      <c r="JCD33" s="551"/>
      <c r="JCE33" s="551"/>
      <c r="JCF33" s="551"/>
      <c r="JCG33" s="551"/>
      <c r="JCH33" s="551"/>
      <c r="JCI33" s="551"/>
      <c r="JCJ33" s="551"/>
      <c r="JCK33" s="551"/>
      <c r="JCL33" s="551"/>
      <c r="JCM33" s="551"/>
      <c r="JCN33" s="551"/>
      <c r="JCO33" s="551"/>
      <c r="JCP33" s="551"/>
      <c r="JCQ33" s="551"/>
      <c r="JCR33" s="551"/>
      <c r="JCS33" s="551"/>
      <c r="JCT33" s="551"/>
      <c r="JCU33" s="551"/>
      <c r="JCV33" s="551"/>
      <c r="JCW33" s="551"/>
      <c r="JCX33" s="551"/>
      <c r="JCY33" s="551"/>
      <c r="JCZ33" s="551"/>
      <c r="JDA33" s="551"/>
      <c r="JDB33" s="551"/>
      <c r="JDC33" s="551"/>
      <c r="JDD33" s="551"/>
      <c r="JDE33" s="551"/>
      <c r="JDF33" s="551"/>
      <c r="JDG33" s="551"/>
      <c r="JDH33" s="551"/>
      <c r="JDI33" s="551"/>
      <c r="JDJ33" s="551"/>
      <c r="JDK33" s="551"/>
      <c r="JDL33" s="551"/>
      <c r="JDM33" s="551"/>
      <c r="JDN33" s="551"/>
      <c r="JDO33" s="551"/>
      <c r="JDP33" s="551"/>
      <c r="JDQ33" s="551"/>
      <c r="JDR33" s="551"/>
      <c r="JDS33" s="551"/>
      <c r="JDT33" s="551"/>
      <c r="JDU33" s="551"/>
      <c r="JDV33" s="551"/>
      <c r="JDW33" s="551"/>
      <c r="JDX33" s="551"/>
      <c r="JDY33" s="551"/>
      <c r="JDZ33" s="551"/>
      <c r="JEA33" s="551"/>
      <c r="JEB33" s="551"/>
      <c r="JEC33" s="551"/>
      <c r="JED33" s="551"/>
      <c r="JEE33" s="551"/>
      <c r="JEF33" s="551"/>
      <c r="JEG33" s="551"/>
      <c r="JEH33" s="551"/>
      <c r="JEI33" s="551"/>
      <c r="JEJ33" s="551"/>
      <c r="JEK33" s="551"/>
      <c r="JEL33" s="551"/>
      <c r="JEM33" s="551"/>
      <c r="JEN33" s="551"/>
      <c r="JEO33" s="551"/>
      <c r="JEP33" s="551"/>
      <c r="JEQ33" s="551"/>
      <c r="JER33" s="551"/>
      <c r="JES33" s="551"/>
      <c r="JET33" s="551"/>
      <c r="JEU33" s="551"/>
      <c r="JEV33" s="551"/>
      <c r="JEW33" s="551"/>
      <c r="JEX33" s="551"/>
      <c r="JEY33" s="551"/>
      <c r="JEZ33" s="551"/>
      <c r="JFA33" s="551"/>
      <c r="JFB33" s="551"/>
      <c r="JFC33" s="551"/>
      <c r="JFD33" s="551"/>
      <c r="JFE33" s="551"/>
      <c r="JFF33" s="551"/>
      <c r="JFG33" s="551"/>
      <c r="JFH33" s="551"/>
      <c r="JFI33" s="551"/>
      <c r="JFJ33" s="551"/>
      <c r="JFK33" s="551"/>
      <c r="JFL33" s="551"/>
      <c r="JFM33" s="551"/>
      <c r="JFN33" s="551"/>
      <c r="JFO33" s="551"/>
      <c r="JFP33" s="551"/>
      <c r="JFQ33" s="551"/>
      <c r="JFR33" s="551"/>
      <c r="JFS33" s="551"/>
      <c r="JFT33" s="551"/>
      <c r="JFU33" s="551"/>
      <c r="JFV33" s="551"/>
      <c r="JFW33" s="551"/>
      <c r="JFX33" s="551"/>
      <c r="JFY33" s="551"/>
      <c r="JFZ33" s="551"/>
      <c r="JGA33" s="551"/>
      <c r="JGB33" s="551"/>
      <c r="JGC33" s="551"/>
      <c r="JGD33" s="551"/>
      <c r="JGE33" s="551"/>
      <c r="JGF33" s="551"/>
      <c r="JGG33" s="551"/>
      <c r="JGH33" s="551"/>
      <c r="JGI33" s="551"/>
      <c r="JGJ33" s="551"/>
      <c r="JGK33" s="551"/>
      <c r="JGL33" s="551"/>
      <c r="JGM33" s="551"/>
      <c r="JGN33" s="551"/>
      <c r="JGO33" s="551"/>
      <c r="JGP33" s="551"/>
      <c r="JGQ33" s="551"/>
      <c r="JGR33" s="551"/>
      <c r="JGS33" s="551"/>
      <c r="JGT33" s="551"/>
      <c r="JGU33" s="551"/>
      <c r="JGV33" s="551"/>
      <c r="JGW33" s="551"/>
      <c r="JGX33" s="551"/>
      <c r="JGY33" s="551"/>
      <c r="JGZ33" s="551"/>
      <c r="JHA33" s="551"/>
      <c r="JHB33" s="551"/>
      <c r="JHC33" s="551"/>
      <c r="JHD33" s="551"/>
      <c r="JHE33" s="551"/>
      <c r="JHF33" s="551"/>
      <c r="JHG33" s="551"/>
      <c r="JHH33" s="551"/>
      <c r="JHI33" s="551"/>
      <c r="JHJ33" s="551"/>
      <c r="JHK33" s="551"/>
      <c r="JHL33" s="551"/>
      <c r="JHM33" s="551"/>
      <c r="JHN33" s="551"/>
      <c r="JHO33" s="551"/>
      <c r="JHP33" s="551"/>
      <c r="JHQ33" s="551"/>
      <c r="JHR33" s="551"/>
      <c r="JHS33" s="551"/>
      <c r="JHT33" s="551"/>
      <c r="JHU33" s="551"/>
      <c r="JHV33" s="551"/>
      <c r="JHW33" s="551"/>
      <c r="JHX33" s="551"/>
      <c r="JHY33" s="551"/>
      <c r="JHZ33" s="551"/>
      <c r="JIA33" s="551"/>
      <c r="JIB33" s="551"/>
      <c r="JIC33" s="551"/>
      <c r="JID33" s="551"/>
      <c r="JIE33" s="551"/>
      <c r="JIF33" s="551"/>
      <c r="JIG33" s="551"/>
      <c r="JIH33" s="551"/>
      <c r="JII33" s="551"/>
      <c r="JIJ33" s="551"/>
      <c r="JIK33" s="551"/>
      <c r="JIL33" s="551"/>
      <c r="JIM33" s="551"/>
      <c r="JIN33" s="551"/>
      <c r="JIO33" s="551"/>
      <c r="JIP33" s="551"/>
      <c r="JIQ33" s="551"/>
      <c r="JIR33" s="551"/>
      <c r="JIS33" s="551"/>
      <c r="JIT33" s="551"/>
      <c r="JIU33" s="551"/>
      <c r="JIV33" s="551"/>
      <c r="JIW33" s="551"/>
      <c r="JIX33" s="551"/>
      <c r="JIY33" s="551"/>
      <c r="JIZ33" s="551"/>
      <c r="JJA33" s="551"/>
      <c r="JJB33" s="551"/>
      <c r="JJC33" s="551"/>
      <c r="JJD33" s="551"/>
      <c r="JJE33" s="551"/>
      <c r="JJF33" s="551"/>
      <c r="JJG33" s="551"/>
      <c r="JJH33" s="551"/>
      <c r="JJI33" s="551"/>
      <c r="JJJ33" s="551"/>
      <c r="JJK33" s="551"/>
      <c r="JJL33" s="551"/>
      <c r="JJM33" s="551"/>
      <c r="JJN33" s="551"/>
      <c r="JJO33" s="551"/>
      <c r="JJP33" s="551"/>
      <c r="JJQ33" s="551"/>
      <c r="JJR33" s="551"/>
      <c r="JJS33" s="551"/>
      <c r="JJT33" s="551"/>
      <c r="JJU33" s="551"/>
      <c r="JJV33" s="551"/>
      <c r="JJW33" s="551"/>
      <c r="JJX33" s="551"/>
      <c r="JJY33" s="551"/>
      <c r="JJZ33" s="551"/>
      <c r="JKA33" s="551"/>
      <c r="JKB33" s="551"/>
      <c r="JKC33" s="551"/>
      <c r="JKD33" s="551"/>
      <c r="JKE33" s="551"/>
      <c r="JKF33" s="551"/>
      <c r="JKG33" s="551"/>
      <c r="JKH33" s="551"/>
      <c r="JKI33" s="551"/>
      <c r="JKJ33" s="551"/>
      <c r="JKK33" s="551"/>
      <c r="JKL33" s="551"/>
      <c r="JKM33" s="551"/>
      <c r="JKN33" s="551"/>
      <c r="JKO33" s="551"/>
      <c r="JKP33" s="551"/>
      <c r="JKQ33" s="551"/>
      <c r="JKR33" s="551"/>
      <c r="JKS33" s="551"/>
      <c r="JKT33" s="551"/>
      <c r="JKU33" s="551"/>
      <c r="JKV33" s="551"/>
      <c r="JKW33" s="551"/>
      <c r="JKX33" s="551"/>
      <c r="JKY33" s="551"/>
      <c r="JKZ33" s="551"/>
      <c r="JLA33" s="551"/>
      <c r="JLB33" s="551"/>
      <c r="JLC33" s="551"/>
      <c r="JLD33" s="551"/>
      <c r="JLE33" s="551"/>
      <c r="JLF33" s="551"/>
      <c r="JLG33" s="551"/>
      <c r="JLH33" s="551"/>
      <c r="JLI33" s="551"/>
      <c r="JLJ33" s="551"/>
      <c r="JLK33" s="551"/>
      <c r="JLL33" s="551"/>
      <c r="JLM33" s="551"/>
      <c r="JLN33" s="551"/>
      <c r="JLO33" s="551"/>
      <c r="JLP33" s="551"/>
      <c r="JLQ33" s="551"/>
      <c r="JLR33" s="551"/>
      <c r="JLS33" s="551"/>
      <c r="JLT33" s="551"/>
      <c r="JLU33" s="551"/>
      <c r="JLV33" s="551"/>
      <c r="JLW33" s="551"/>
      <c r="JLX33" s="551"/>
      <c r="JLY33" s="551"/>
      <c r="JLZ33" s="551"/>
      <c r="JMA33" s="551"/>
      <c r="JMB33" s="551"/>
      <c r="JMC33" s="551"/>
      <c r="JMD33" s="551"/>
      <c r="JME33" s="551"/>
      <c r="JMF33" s="551"/>
      <c r="JMG33" s="551"/>
      <c r="JMH33" s="551"/>
      <c r="JMI33" s="551"/>
      <c r="JMJ33" s="551"/>
      <c r="JMK33" s="551"/>
      <c r="JML33" s="551"/>
      <c r="JMM33" s="551"/>
      <c r="JMN33" s="551"/>
      <c r="JMO33" s="551"/>
      <c r="JMP33" s="551"/>
      <c r="JMQ33" s="551"/>
      <c r="JMR33" s="551"/>
      <c r="JMS33" s="551"/>
      <c r="JMT33" s="551"/>
      <c r="JMU33" s="551"/>
      <c r="JMV33" s="551"/>
      <c r="JMW33" s="551"/>
      <c r="JMX33" s="551"/>
      <c r="JMY33" s="551"/>
      <c r="JMZ33" s="551"/>
      <c r="JNA33" s="551"/>
      <c r="JNB33" s="551"/>
      <c r="JNC33" s="551"/>
      <c r="JND33" s="551"/>
      <c r="JNE33" s="551"/>
      <c r="JNF33" s="551"/>
      <c r="JNG33" s="551"/>
      <c r="JNH33" s="551"/>
      <c r="JNI33" s="551"/>
      <c r="JNJ33" s="551"/>
      <c r="JNK33" s="551"/>
      <c r="JNL33" s="551"/>
      <c r="JNM33" s="551"/>
      <c r="JNN33" s="551"/>
      <c r="JNO33" s="551"/>
      <c r="JNP33" s="551"/>
      <c r="JNQ33" s="551"/>
      <c r="JNR33" s="551"/>
      <c r="JNS33" s="551"/>
      <c r="JNT33" s="551"/>
      <c r="JNU33" s="551"/>
      <c r="JNV33" s="551"/>
      <c r="JNW33" s="551"/>
      <c r="JNX33" s="551"/>
      <c r="JNY33" s="551"/>
      <c r="JNZ33" s="551"/>
      <c r="JOA33" s="551"/>
      <c r="JOB33" s="551"/>
      <c r="JOC33" s="551"/>
      <c r="JOD33" s="551"/>
      <c r="JOE33" s="551"/>
      <c r="JOF33" s="551"/>
      <c r="JOG33" s="551"/>
      <c r="JOH33" s="551"/>
      <c r="JOI33" s="551"/>
      <c r="JOJ33" s="551"/>
      <c r="JOK33" s="551"/>
      <c r="JOL33" s="551"/>
      <c r="JOM33" s="551"/>
      <c r="JON33" s="551"/>
      <c r="JOO33" s="551"/>
      <c r="JOP33" s="551"/>
      <c r="JOQ33" s="551"/>
      <c r="JOR33" s="551"/>
      <c r="JOS33" s="551"/>
      <c r="JOT33" s="551"/>
      <c r="JOU33" s="551"/>
      <c r="JOV33" s="551"/>
      <c r="JOW33" s="551"/>
      <c r="JOX33" s="551"/>
      <c r="JOY33" s="551"/>
      <c r="JOZ33" s="551"/>
      <c r="JPA33" s="551"/>
      <c r="JPB33" s="551"/>
      <c r="JPC33" s="551"/>
      <c r="JPD33" s="551"/>
      <c r="JPE33" s="551"/>
      <c r="JPF33" s="551"/>
      <c r="JPG33" s="551"/>
      <c r="JPH33" s="551"/>
      <c r="JPI33" s="551"/>
      <c r="JPJ33" s="551"/>
      <c r="JPK33" s="551"/>
      <c r="JPL33" s="551"/>
      <c r="JPM33" s="551"/>
      <c r="JPN33" s="551"/>
      <c r="JPO33" s="551"/>
      <c r="JPP33" s="551"/>
      <c r="JPQ33" s="551"/>
      <c r="JPR33" s="551"/>
      <c r="JPS33" s="551"/>
      <c r="JPT33" s="551"/>
      <c r="JPU33" s="551"/>
      <c r="JPV33" s="551"/>
      <c r="JPW33" s="551"/>
      <c r="JPX33" s="551"/>
      <c r="JPY33" s="551"/>
      <c r="JPZ33" s="551"/>
      <c r="JQA33" s="551"/>
      <c r="JQB33" s="551"/>
      <c r="JQC33" s="551"/>
      <c r="JQD33" s="551"/>
      <c r="JQE33" s="551"/>
      <c r="JQF33" s="551"/>
      <c r="JQG33" s="551"/>
      <c r="JQH33" s="551"/>
      <c r="JQI33" s="551"/>
      <c r="JQJ33" s="551"/>
      <c r="JQK33" s="551"/>
      <c r="JQL33" s="551"/>
      <c r="JQM33" s="551"/>
      <c r="JQN33" s="551"/>
      <c r="JQO33" s="551"/>
      <c r="JQP33" s="551"/>
      <c r="JQQ33" s="551"/>
      <c r="JQR33" s="551"/>
      <c r="JQS33" s="551"/>
      <c r="JQT33" s="551"/>
      <c r="JQU33" s="551"/>
      <c r="JQV33" s="551"/>
      <c r="JQW33" s="551"/>
      <c r="JQX33" s="551"/>
      <c r="JQY33" s="551"/>
      <c r="JQZ33" s="551"/>
      <c r="JRA33" s="551"/>
      <c r="JRB33" s="551"/>
      <c r="JRC33" s="551"/>
      <c r="JRD33" s="551"/>
      <c r="JRE33" s="551"/>
      <c r="JRF33" s="551"/>
      <c r="JRG33" s="551"/>
      <c r="JRH33" s="551"/>
      <c r="JRI33" s="551"/>
      <c r="JRJ33" s="551"/>
      <c r="JRK33" s="551"/>
      <c r="JRL33" s="551"/>
      <c r="JRM33" s="551"/>
      <c r="JRN33" s="551"/>
      <c r="JRO33" s="551"/>
      <c r="JRP33" s="551"/>
      <c r="JRQ33" s="551"/>
      <c r="JRR33" s="551"/>
      <c r="JRS33" s="551"/>
      <c r="JRT33" s="551"/>
      <c r="JRU33" s="551"/>
      <c r="JRV33" s="551"/>
      <c r="JRW33" s="551"/>
      <c r="JRX33" s="551"/>
      <c r="JRY33" s="551"/>
      <c r="JRZ33" s="551"/>
      <c r="JSA33" s="551"/>
      <c r="JSB33" s="551"/>
      <c r="JSC33" s="551"/>
      <c r="JSD33" s="551"/>
      <c r="JSE33" s="551"/>
      <c r="JSF33" s="551"/>
      <c r="JSG33" s="551"/>
      <c r="JSH33" s="551"/>
      <c r="JSI33" s="551"/>
      <c r="JSJ33" s="551"/>
      <c r="JSK33" s="551"/>
      <c r="JSL33" s="551"/>
      <c r="JSM33" s="551"/>
      <c r="JSN33" s="551"/>
      <c r="JSO33" s="551"/>
      <c r="JSP33" s="551"/>
      <c r="JSQ33" s="551"/>
      <c r="JSR33" s="551"/>
      <c r="JSS33" s="551"/>
      <c r="JST33" s="551"/>
      <c r="JSU33" s="551"/>
      <c r="JSV33" s="551"/>
      <c r="JSW33" s="551"/>
      <c r="JSX33" s="551"/>
      <c r="JSY33" s="551"/>
      <c r="JSZ33" s="551"/>
      <c r="JTA33" s="551"/>
      <c r="JTB33" s="551"/>
      <c r="JTC33" s="551"/>
      <c r="JTD33" s="551"/>
      <c r="JTE33" s="551"/>
      <c r="JTF33" s="551"/>
      <c r="JTG33" s="551"/>
      <c r="JTH33" s="551"/>
      <c r="JTI33" s="551"/>
      <c r="JTJ33" s="551"/>
      <c r="JTK33" s="551"/>
      <c r="JTL33" s="551"/>
      <c r="JTM33" s="551"/>
      <c r="JTN33" s="551"/>
      <c r="JTO33" s="551"/>
      <c r="JTP33" s="551"/>
      <c r="JTQ33" s="551"/>
      <c r="JTR33" s="551"/>
      <c r="JTS33" s="551"/>
      <c r="JTT33" s="551"/>
      <c r="JTU33" s="551"/>
      <c r="JTV33" s="551"/>
      <c r="JTW33" s="551"/>
      <c r="JTX33" s="551"/>
      <c r="JTY33" s="551"/>
      <c r="JTZ33" s="551"/>
      <c r="JUA33" s="551"/>
      <c r="JUB33" s="551"/>
      <c r="JUC33" s="551"/>
      <c r="JUD33" s="551"/>
      <c r="JUE33" s="551"/>
      <c r="JUF33" s="551"/>
      <c r="JUG33" s="551"/>
      <c r="JUH33" s="551"/>
      <c r="JUI33" s="551"/>
      <c r="JUJ33" s="551"/>
      <c r="JUK33" s="551"/>
      <c r="JUL33" s="551"/>
      <c r="JUM33" s="551"/>
      <c r="JUN33" s="551"/>
      <c r="JUO33" s="551"/>
      <c r="JUP33" s="551"/>
      <c r="JUQ33" s="551"/>
      <c r="JUR33" s="551"/>
      <c r="JUS33" s="551"/>
      <c r="JUT33" s="551"/>
      <c r="JUU33" s="551"/>
      <c r="JUV33" s="551"/>
      <c r="JUW33" s="551"/>
      <c r="JUX33" s="551"/>
      <c r="JUY33" s="551"/>
      <c r="JUZ33" s="551"/>
      <c r="JVA33" s="551"/>
      <c r="JVB33" s="551"/>
      <c r="JVC33" s="551"/>
      <c r="JVD33" s="551"/>
      <c r="JVE33" s="551"/>
      <c r="JVF33" s="551"/>
      <c r="JVG33" s="551"/>
      <c r="JVH33" s="551"/>
      <c r="JVI33" s="551"/>
      <c r="JVJ33" s="551"/>
      <c r="JVK33" s="551"/>
      <c r="JVL33" s="551"/>
      <c r="JVM33" s="551"/>
      <c r="JVN33" s="551"/>
      <c r="JVO33" s="551"/>
      <c r="JVP33" s="551"/>
      <c r="JVQ33" s="551"/>
      <c r="JVR33" s="551"/>
      <c r="JVS33" s="551"/>
      <c r="JVT33" s="551"/>
      <c r="JVU33" s="551"/>
      <c r="JVV33" s="551"/>
      <c r="JVW33" s="551"/>
      <c r="JVX33" s="551"/>
      <c r="JVY33" s="551"/>
      <c r="JVZ33" s="551"/>
      <c r="JWA33" s="551"/>
      <c r="JWB33" s="551"/>
      <c r="JWC33" s="551"/>
      <c r="JWD33" s="551"/>
      <c r="JWE33" s="551"/>
      <c r="JWF33" s="551"/>
      <c r="JWG33" s="551"/>
      <c r="JWH33" s="551"/>
      <c r="JWI33" s="551"/>
      <c r="JWJ33" s="551"/>
      <c r="JWK33" s="551"/>
      <c r="JWL33" s="551"/>
      <c r="JWM33" s="551"/>
      <c r="JWN33" s="551"/>
      <c r="JWO33" s="551"/>
      <c r="JWP33" s="551"/>
      <c r="JWQ33" s="551"/>
      <c r="JWR33" s="551"/>
      <c r="JWS33" s="551"/>
      <c r="JWT33" s="551"/>
      <c r="JWU33" s="551"/>
      <c r="JWV33" s="551"/>
      <c r="JWW33" s="551"/>
      <c r="JWX33" s="551"/>
      <c r="JWY33" s="551"/>
      <c r="JWZ33" s="551"/>
      <c r="JXA33" s="551"/>
      <c r="JXB33" s="551"/>
      <c r="JXC33" s="551"/>
      <c r="JXD33" s="551"/>
      <c r="JXE33" s="551"/>
      <c r="JXF33" s="551"/>
      <c r="JXG33" s="551"/>
      <c r="JXH33" s="551"/>
      <c r="JXI33" s="551"/>
      <c r="JXJ33" s="551"/>
      <c r="JXK33" s="551"/>
      <c r="JXL33" s="551"/>
      <c r="JXM33" s="551"/>
      <c r="JXN33" s="551"/>
      <c r="JXO33" s="551"/>
      <c r="JXP33" s="551"/>
      <c r="JXQ33" s="551"/>
      <c r="JXR33" s="551"/>
      <c r="JXS33" s="551"/>
      <c r="JXT33" s="551"/>
      <c r="JXU33" s="551"/>
      <c r="JXV33" s="551"/>
      <c r="JXW33" s="551"/>
      <c r="JXX33" s="551"/>
      <c r="JXY33" s="551"/>
      <c r="JXZ33" s="551"/>
      <c r="JYA33" s="551"/>
      <c r="JYB33" s="551"/>
      <c r="JYC33" s="551"/>
      <c r="JYD33" s="551"/>
      <c r="JYE33" s="551"/>
      <c r="JYF33" s="551"/>
      <c r="JYG33" s="551"/>
      <c r="JYH33" s="551"/>
      <c r="JYI33" s="551"/>
      <c r="JYJ33" s="551"/>
      <c r="JYK33" s="551"/>
      <c r="JYL33" s="551"/>
      <c r="JYM33" s="551"/>
      <c r="JYN33" s="551"/>
      <c r="JYO33" s="551"/>
      <c r="JYP33" s="551"/>
      <c r="JYQ33" s="551"/>
      <c r="JYR33" s="551"/>
      <c r="JYS33" s="551"/>
      <c r="JYT33" s="551"/>
      <c r="JYU33" s="551"/>
      <c r="JYV33" s="551"/>
      <c r="JYW33" s="551"/>
      <c r="JYX33" s="551"/>
      <c r="JYY33" s="551"/>
      <c r="JYZ33" s="551"/>
      <c r="JZA33" s="551"/>
      <c r="JZB33" s="551"/>
      <c r="JZC33" s="551"/>
      <c r="JZD33" s="551"/>
      <c r="JZE33" s="551"/>
      <c r="JZF33" s="551"/>
      <c r="JZG33" s="551"/>
      <c r="JZH33" s="551"/>
      <c r="JZI33" s="551"/>
      <c r="JZJ33" s="551"/>
      <c r="JZK33" s="551"/>
      <c r="JZL33" s="551"/>
      <c r="JZM33" s="551"/>
      <c r="JZN33" s="551"/>
      <c r="JZO33" s="551"/>
      <c r="JZP33" s="551"/>
      <c r="JZQ33" s="551"/>
      <c r="JZR33" s="551"/>
      <c r="JZS33" s="551"/>
      <c r="JZT33" s="551"/>
      <c r="JZU33" s="551"/>
      <c r="JZV33" s="551"/>
      <c r="JZW33" s="551"/>
      <c r="JZX33" s="551"/>
      <c r="JZY33" s="551"/>
      <c r="JZZ33" s="551"/>
      <c r="KAA33" s="551"/>
      <c r="KAB33" s="551"/>
      <c r="KAC33" s="551"/>
      <c r="KAD33" s="551"/>
      <c r="KAE33" s="551"/>
      <c r="KAF33" s="551"/>
      <c r="KAG33" s="551"/>
      <c r="KAH33" s="551"/>
      <c r="KAI33" s="551"/>
      <c r="KAJ33" s="551"/>
      <c r="KAK33" s="551"/>
      <c r="KAL33" s="551"/>
      <c r="KAM33" s="551"/>
      <c r="KAN33" s="551"/>
      <c r="KAO33" s="551"/>
      <c r="KAP33" s="551"/>
      <c r="KAQ33" s="551"/>
      <c r="KAR33" s="551"/>
      <c r="KAS33" s="551"/>
      <c r="KAT33" s="551"/>
      <c r="KAU33" s="551"/>
      <c r="KAV33" s="551"/>
      <c r="KAW33" s="551"/>
      <c r="KAX33" s="551"/>
      <c r="KAY33" s="551"/>
      <c r="KAZ33" s="551"/>
      <c r="KBA33" s="551"/>
      <c r="KBB33" s="551"/>
      <c r="KBC33" s="551"/>
      <c r="KBD33" s="551"/>
      <c r="KBE33" s="551"/>
      <c r="KBF33" s="551"/>
      <c r="KBG33" s="551"/>
      <c r="KBH33" s="551"/>
      <c r="KBI33" s="551"/>
      <c r="KBJ33" s="551"/>
      <c r="KBK33" s="551"/>
      <c r="KBL33" s="551"/>
      <c r="KBM33" s="551"/>
      <c r="KBN33" s="551"/>
      <c r="KBO33" s="551"/>
      <c r="KBP33" s="551"/>
      <c r="KBQ33" s="551"/>
      <c r="KBR33" s="551"/>
      <c r="KBS33" s="551"/>
      <c r="KBT33" s="551"/>
      <c r="KBU33" s="551"/>
      <c r="KBV33" s="551"/>
      <c r="KBW33" s="551"/>
      <c r="KBX33" s="551"/>
      <c r="KBY33" s="551"/>
      <c r="KBZ33" s="551"/>
      <c r="KCA33" s="551"/>
      <c r="KCB33" s="551"/>
      <c r="KCC33" s="551"/>
      <c r="KCD33" s="551"/>
      <c r="KCE33" s="551"/>
      <c r="KCF33" s="551"/>
      <c r="KCG33" s="551"/>
      <c r="KCH33" s="551"/>
      <c r="KCI33" s="551"/>
      <c r="KCJ33" s="551"/>
      <c r="KCK33" s="551"/>
      <c r="KCL33" s="551"/>
      <c r="KCM33" s="551"/>
      <c r="KCN33" s="551"/>
      <c r="KCO33" s="551"/>
      <c r="KCP33" s="551"/>
      <c r="KCQ33" s="551"/>
      <c r="KCR33" s="551"/>
      <c r="KCS33" s="551"/>
      <c r="KCT33" s="551"/>
      <c r="KCU33" s="551"/>
      <c r="KCV33" s="551"/>
      <c r="KCW33" s="551"/>
      <c r="KCX33" s="551"/>
      <c r="KCY33" s="551"/>
      <c r="KCZ33" s="551"/>
      <c r="KDA33" s="551"/>
      <c r="KDB33" s="551"/>
      <c r="KDC33" s="551"/>
      <c r="KDD33" s="551"/>
      <c r="KDE33" s="551"/>
      <c r="KDF33" s="551"/>
      <c r="KDG33" s="551"/>
      <c r="KDH33" s="551"/>
      <c r="KDI33" s="551"/>
      <c r="KDJ33" s="551"/>
      <c r="KDK33" s="551"/>
      <c r="KDL33" s="551"/>
      <c r="KDM33" s="551"/>
      <c r="KDN33" s="551"/>
      <c r="KDO33" s="551"/>
      <c r="KDP33" s="551"/>
      <c r="KDQ33" s="551"/>
      <c r="KDR33" s="551"/>
      <c r="KDS33" s="551"/>
      <c r="KDT33" s="551"/>
      <c r="KDU33" s="551"/>
      <c r="KDV33" s="551"/>
      <c r="KDW33" s="551"/>
      <c r="KDX33" s="551"/>
      <c r="KDY33" s="551"/>
      <c r="KDZ33" s="551"/>
      <c r="KEA33" s="551"/>
      <c r="KEB33" s="551"/>
      <c r="KEC33" s="551"/>
      <c r="KED33" s="551"/>
      <c r="KEE33" s="551"/>
      <c r="KEF33" s="551"/>
      <c r="KEG33" s="551"/>
      <c r="KEH33" s="551"/>
      <c r="KEI33" s="551"/>
      <c r="KEJ33" s="551"/>
      <c r="KEK33" s="551"/>
      <c r="KEL33" s="551"/>
      <c r="KEM33" s="551"/>
      <c r="KEN33" s="551"/>
      <c r="KEO33" s="551"/>
      <c r="KEP33" s="551"/>
      <c r="KEQ33" s="551"/>
      <c r="KER33" s="551"/>
      <c r="KES33" s="551"/>
      <c r="KET33" s="551"/>
      <c r="KEU33" s="551"/>
      <c r="KEV33" s="551"/>
      <c r="KEW33" s="551"/>
      <c r="KEX33" s="551"/>
      <c r="KEY33" s="551"/>
      <c r="KEZ33" s="551"/>
      <c r="KFA33" s="551"/>
      <c r="KFB33" s="551"/>
      <c r="KFC33" s="551"/>
      <c r="KFD33" s="551"/>
      <c r="KFE33" s="551"/>
      <c r="KFF33" s="551"/>
      <c r="KFG33" s="551"/>
      <c r="KFH33" s="551"/>
      <c r="KFI33" s="551"/>
      <c r="KFJ33" s="551"/>
      <c r="KFK33" s="551"/>
      <c r="KFL33" s="551"/>
      <c r="KFM33" s="551"/>
      <c r="KFN33" s="551"/>
      <c r="KFO33" s="551"/>
      <c r="KFP33" s="551"/>
      <c r="KFQ33" s="551"/>
      <c r="KFR33" s="551"/>
      <c r="KFS33" s="551"/>
      <c r="KFT33" s="551"/>
      <c r="KFU33" s="551"/>
      <c r="KFV33" s="551"/>
      <c r="KFW33" s="551"/>
      <c r="KFX33" s="551"/>
      <c r="KFY33" s="551"/>
      <c r="KFZ33" s="551"/>
      <c r="KGA33" s="551"/>
      <c r="KGB33" s="551"/>
      <c r="KGC33" s="551"/>
      <c r="KGD33" s="551"/>
      <c r="KGE33" s="551"/>
      <c r="KGF33" s="551"/>
      <c r="KGG33" s="551"/>
      <c r="KGH33" s="551"/>
      <c r="KGI33" s="551"/>
      <c r="KGJ33" s="551"/>
      <c r="KGK33" s="551"/>
      <c r="KGL33" s="551"/>
      <c r="KGM33" s="551"/>
      <c r="KGN33" s="551"/>
      <c r="KGO33" s="551"/>
      <c r="KGP33" s="551"/>
      <c r="KGQ33" s="551"/>
      <c r="KGR33" s="551"/>
      <c r="KGS33" s="551"/>
      <c r="KGT33" s="551"/>
      <c r="KGU33" s="551"/>
      <c r="KGV33" s="551"/>
      <c r="KGW33" s="551"/>
      <c r="KGX33" s="551"/>
      <c r="KGY33" s="551"/>
      <c r="KGZ33" s="551"/>
      <c r="KHA33" s="551"/>
      <c r="KHB33" s="551"/>
      <c r="KHC33" s="551"/>
      <c r="KHD33" s="551"/>
      <c r="KHE33" s="551"/>
      <c r="KHF33" s="551"/>
      <c r="KHG33" s="551"/>
      <c r="KHH33" s="551"/>
      <c r="KHI33" s="551"/>
      <c r="KHJ33" s="551"/>
      <c r="KHK33" s="551"/>
      <c r="KHL33" s="551"/>
      <c r="KHM33" s="551"/>
      <c r="KHN33" s="551"/>
      <c r="KHO33" s="551"/>
      <c r="KHP33" s="551"/>
      <c r="KHQ33" s="551"/>
      <c r="KHR33" s="551"/>
      <c r="KHS33" s="551"/>
      <c r="KHT33" s="551"/>
      <c r="KHU33" s="551"/>
      <c r="KHV33" s="551"/>
      <c r="KHW33" s="551"/>
      <c r="KHX33" s="551"/>
      <c r="KHY33" s="551"/>
      <c r="KHZ33" s="551"/>
      <c r="KIA33" s="551"/>
      <c r="KIB33" s="551"/>
      <c r="KIC33" s="551"/>
      <c r="KID33" s="551"/>
      <c r="KIE33" s="551"/>
      <c r="KIF33" s="551"/>
      <c r="KIG33" s="551"/>
      <c r="KIH33" s="551"/>
      <c r="KII33" s="551"/>
      <c r="KIJ33" s="551"/>
      <c r="KIK33" s="551"/>
      <c r="KIL33" s="551"/>
      <c r="KIM33" s="551"/>
      <c r="KIN33" s="551"/>
      <c r="KIO33" s="551"/>
      <c r="KIP33" s="551"/>
      <c r="KIQ33" s="551"/>
      <c r="KIR33" s="551"/>
      <c r="KIS33" s="551"/>
      <c r="KIT33" s="551"/>
      <c r="KIU33" s="551"/>
      <c r="KIV33" s="551"/>
      <c r="KIW33" s="551"/>
      <c r="KIX33" s="551"/>
      <c r="KIY33" s="551"/>
      <c r="KIZ33" s="551"/>
      <c r="KJA33" s="551"/>
      <c r="KJB33" s="551"/>
      <c r="KJC33" s="551"/>
      <c r="KJD33" s="551"/>
      <c r="KJE33" s="551"/>
      <c r="KJF33" s="551"/>
      <c r="KJG33" s="551"/>
      <c r="KJH33" s="551"/>
      <c r="KJI33" s="551"/>
      <c r="KJJ33" s="551"/>
      <c r="KJK33" s="551"/>
      <c r="KJL33" s="551"/>
      <c r="KJM33" s="551"/>
      <c r="KJN33" s="551"/>
      <c r="KJO33" s="551"/>
      <c r="KJP33" s="551"/>
      <c r="KJQ33" s="551"/>
      <c r="KJR33" s="551"/>
      <c r="KJS33" s="551"/>
      <c r="KJT33" s="551"/>
      <c r="KJU33" s="551"/>
      <c r="KJV33" s="551"/>
      <c r="KJW33" s="551"/>
      <c r="KJX33" s="551"/>
      <c r="KJY33" s="551"/>
      <c r="KJZ33" s="551"/>
      <c r="KKA33" s="551"/>
      <c r="KKB33" s="551"/>
      <c r="KKC33" s="551"/>
      <c r="KKD33" s="551"/>
      <c r="KKE33" s="551"/>
      <c r="KKF33" s="551"/>
      <c r="KKG33" s="551"/>
      <c r="KKH33" s="551"/>
      <c r="KKI33" s="551"/>
      <c r="KKJ33" s="551"/>
      <c r="KKK33" s="551"/>
      <c r="KKL33" s="551"/>
      <c r="KKM33" s="551"/>
      <c r="KKN33" s="551"/>
      <c r="KKO33" s="551"/>
      <c r="KKP33" s="551"/>
      <c r="KKQ33" s="551"/>
      <c r="KKR33" s="551"/>
      <c r="KKS33" s="551"/>
      <c r="KKT33" s="551"/>
      <c r="KKU33" s="551"/>
      <c r="KKV33" s="551"/>
      <c r="KKW33" s="551"/>
      <c r="KKX33" s="551"/>
      <c r="KKY33" s="551"/>
      <c r="KKZ33" s="551"/>
      <c r="KLA33" s="551"/>
      <c r="KLB33" s="551"/>
      <c r="KLC33" s="551"/>
      <c r="KLD33" s="551"/>
      <c r="KLE33" s="551"/>
      <c r="KLF33" s="551"/>
      <c r="KLG33" s="551"/>
      <c r="KLH33" s="551"/>
      <c r="KLI33" s="551"/>
      <c r="KLJ33" s="551"/>
      <c r="KLK33" s="551"/>
      <c r="KLL33" s="551"/>
      <c r="KLM33" s="551"/>
      <c r="KLN33" s="551"/>
      <c r="KLO33" s="551"/>
      <c r="KLP33" s="551"/>
      <c r="KLQ33" s="551"/>
      <c r="KLR33" s="551"/>
      <c r="KLS33" s="551"/>
      <c r="KLT33" s="551"/>
      <c r="KLU33" s="551"/>
      <c r="KLV33" s="551"/>
      <c r="KLW33" s="551"/>
      <c r="KLX33" s="551"/>
      <c r="KLY33" s="551"/>
      <c r="KLZ33" s="551"/>
      <c r="KMA33" s="551"/>
      <c r="KMB33" s="551"/>
      <c r="KMC33" s="551"/>
      <c r="KMD33" s="551"/>
      <c r="KME33" s="551"/>
      <c r="KMF33" s="551"/>
      <c r="KMG33" s="551"/>
      <c r="KMH33" s="551"/>
      <c r="KMI33" s="551"/>
      <c r="KMJ33" s="551"/>
      <c r="KMK33" s="551"/>
      <c r="KML33" s="551"/>
      <c r="KMM33" s="551"/>
      <c r="KMN33" s="551"/>
      <c r="KMO33" s="551"/>
      <c r="KMP33" s="551"/>
      <c r="KMQ33" s="551"/>
      <c r="KMR33" s="551"/>
      <c r="KMS33" s="551"/>
      <c r="KMT33" s="551"/>
      <c r="KMU33" s="551"/>
      <c r="KMV33" s="551"/>
      <c r="KMW33" s="551"/>
      <c r="KMX33" s="551"/>
      <c r="KMY33" s="551"/>
      <c r="KMZ33" s="551"/>
      <c r="KNA33" s="551"/>
      <c r="KNB33" s="551"/>
      <c r="KNC33" s="551"/>
      <c r="KND33" s="551"/>
      <c r="KNE33" s="551"/>
      <c r="KNF33" s="551"/>
      <c r="KNG33" s="551"/>
      <c r="KNH33" s="551"/>
      <c r="KNI33" s="551"/>
      <c r="KNJ33" s="551"/>
      <c r="KNK33" s="551"/>
      <c r="KNL33" s="551"/>
      <c r="KNM33" s="551"/>
      <c r="KNN33" s="551"/>
      <c r="KNO33" s="551"/>
      <c r="KNP33" s="551"/>
      <c r="KNQ33" s="551"/>
      <c r="KNR33" s="551"/>
      <c r="KNS33" s="551"/>
      <c r="KNT33" s="551"/>
      <c r="KNU33" s="551"/>
      <c r="KNV33" s="551"/>
      <c r="KNW33" s="551"/>
      <c r="KNX33" s="551"/>
      <c r="KNY33" s="551"/>
      <c r="KNZ33" s="551"/>
      <c r="KOA33" s="551"/>
      <c r="KOB33" s="551"/>
      <c r="KOC33" s="551"/>
      <c r="KOD33" s="551"/>
      <c r="KOE33" s="551"/>
      <c r="KOF33" s="551"/>
      <c r="KOG33" s="551"/>
      <c r="KOH33" s="551"/>
      <c r="KOI33" s="551"/>
      <c r="KOJ33" s="551"/>
      <c r="KOK33" s="551"/>
      <c r="KOL33" s="551"/>
      <c r="KOM33" s="551"/>
      <c r="KON33" s="551"/>
      <c r="KOO33" s="551"/>
      <c r="KOP33" s="551"/>
      <c r="KOQ33" s="551"/>
      <c r="KOR33" s="551"/>
      <c r="KOS33" s="551"/>
      <c r="KOT33" s="551"/>
      <c r="KOU33" s="551"/>
      <c r="KOV33" s="551"/>
      <c r="KOW33" s="551"/>
      <c r="KOX33" s="551"/>
      <c r="KOY33" s="551"/>
      <c r="KOZ33" s="551"/>
      <c r="KPA33" s="551"/>
      <c r="KPB33" s="551"/>
      <c r="KPC33" s="551"/>
      <c r="KPD33" s="551"/>
      <c r="KPE33" s="551"/>
      <c r="KPF33" s="551"/>
      <c r="KPG33" s="551"/>
      <c r="KPH33" s="551"/>
      <c r="KPI33" s="551"/>
      <c r="KPJ33" s="551"/>
      <c r="KPK33" s="551"/>
      <c r="KPL33" s="551"/>
      <c r="KPM33" s="551"/>
      <c r="KPN33" s="551"/>
      <c r="KPO33" s="551"/>
      <c r="KPP33" s="551"/>
      <c r="KPQ33" s="551"/>
      <c r="KPR33" s="551"/>
      <c r="KPS33" s="551"/>
      <c r="KPT33" s="551"/>
      <c r="KPU33" s="551"/>
      <c r="KPV33" s="551"/>
      <c r="KPW33" s="551"/>
      <c r="KPX33" s="551"/>
      <c r="KPY33" s="551"/>
      <c r="KPZ33" s="551"/>
      <c r="KQA33" s="551"/>
      <c r="KQB33" s="551"/>
      <c r="KQC33" s="551"/>
      <c r="KQD33" s="551"/>
      <c r="KQE33" s="551"/>
      <c r="KQF33" s="551"/>
      <c r="KQG33" s="551"/>
      <c r="KQH33" s="551"/>
      <c r="KQI33" s="551"/>
      <c r="KQJ33" s="551"/>
      <c r="KQK33" s="551"/>
      <c r="KQL33" s="551"/>
      <c r="KQM33" s="551"/>
      <c r="KQN33" s="551"/>
      <c r="KQO33" s="551"/>
      <c r="KQP33" s="551"/>
      <c r="KQQ33" s="551"/>
      <c r="KQR33" s="551"/>
      <c r="KQS33" s="551"/>
      <c r="KQT33" s="551"/>
      <c r="KQU33" s="551"/>
      <c r="KQV33" s="551"/>
      <c r="KQW33" s="551"/>
      <c r="KQX33" s="551"/>
      <c r="KQY33" s="551"/>
      <c r="KQZ33" s="551"/>
      <c r="KRA33" s="551"/>
      <c r="KRB33" s="551"/>
      <c r="KRC33" s="551"/>
      <c r="KRD33" s="551"/>
      <c r="KRE33" s="551"/>
      <c r="KRF33" s="551"/>
      <c r="KRG33" s="551"/>
      <c r="KRH33" s="551"/>
      <c r="KRI33" s="551"/>
      <c r="KRJ33" s="551"/>
      <c r="KRK33" s="551"/>
      <c r="KRL33" s="551"/>
      <c r="KRM33" s="551"/>
      <c r="KRN33" s="551"/>
      <c r="KRO33" s="551"/>
      <c r="KRP33" s="551"/>
      <c r="KRQ33" s="551"/>
      <c r="KRR33" s="551"/>
      <c r="KRS33" s="551"/>
      <c r="KRT33" s="551"/>
      <c r="KRU33" s="551"/>
      <c r="KRV33" s="551"/>
      <c r="KRW33" s="551"/>
      <c r="KRX33" s="551"/>
      <c r="KRY33" s="551"/>
      <c r="KRZ33" s="551"/>
      <c r="KSA33" s="551"/>
      <c r="KSB33" s="551"/>
      <c r="KSC33" s="551"/>
      <c r="KSD33" s="551"/>
      <c r="KSE33" s="551"/>
      <c r="KSF33" s="551"/>
      <c r="KSG33" s="551"/>
      <c r="KSH33" s="551"/>
      <c r="KSI33" s="551"/>
      <c r="KSJ33" s="551"/>
      <c r="KSK33" s="551"/>
      <c r="KSL33" s="551"/>
      <c r="KSM33" s="551"/>
      <c r="KSN33" s="551"/>
      <c r="KSO33" s="551"/>
      <c r="KSP33" s="551"/>
      <c r="KSQ33" s="551"/>
      <c r="KSR33" s="551"/>
      <c r="KSS33" s="551"/>
      <c r="KST33" s="551"/>
      <c r="KSU33" s="551"/>
      <c r="KSV33" s="551"/>
      <c r="KSW33" s="551"/>
      <c r="KSX33" s="551"/>
      <c r="KSY33" s="551"/>
      <c r="KSZ33" s="551"/>
      <c r="KTA33" s="551"/>
      <c r="KTB33" s="551"/>
      <c r="KTC33" s="551"/>
      <c r="KTD33" s="551"/>
      <c r="KTE33" s="551"/>
      <c r="KTF33" s="551"/>
      <c r="KTG33" s="551"/>
      <c r="KTH33" s="551"/>
      <c r="KTI33" s="551"/>
      <c r="KTJ33" s="551"/>
      <c r="KTK33" s="551"/>
      <c r="KTL33" s="551"/>
      <c r="KTM33" s="551"/>
      <c r="KTN33" s="551"/>
      <c r="KTO33" s="551"/>
      <c r="KTP33" s="551"/>
      <c r="KTQ33" s="551"/>
      <c r="KTR33" s="551"/>
      <c r="KTS33" s="551"/>
      <c r="KTT33" s="551"/>
      <c r="KTU33" s="551"/>
      <c r="KTV33" s="551"/>
      <c r="KTW33" s="551"/>
      <c r="KTX33" s="551"/>
      <c r="KTY33" s="551"/>
      <c r="KTZ33" s="551"/>
      <c r="KUA33" s="551"/>
      <c r="KUB33" s="551"/>
      <c r="KUC33" s="551"/>
      <c r="KUD33" s="551"/>
      <c r="KUE33" s="551"/>
      <c r="KUF33" s="551"/>
      <c r="KUG33" s="551"/>
      <c r="KUH33" s="551"/>
      <c r="KUI33" s="551"/>
      <c r="KUJ33" s="551"/>
      <c r="KUK33" s="551"/>
      <c r="KUL33" s="551"/>
      <c r="KUM33" s="551"/>
      <c r="KUN33" s="551"/>
      <c r="KUO33" s="551"/>
      <c r="KUP33" s="551"/>
      <c r="KUQ33" s="551"/>
      <c r="KUR33" s="551"/>
      <c r="KUS33" s="551"/>
      <c r="KUT33" s="551"/>
      <c r="KUU33" s="551"/>
      <c r="KUV33" s="551"/>
      <c r="KUW33" s="551"/>
      <c r="KUX33" s="551"/>
      <c r="KUY33" s="551"/>
      <c r="KUZ33" s="551"/>
      <c r="KVA33" s="551"/>
      <c r="KVB33" s="551"/>
      <c r="KVC33" s="551"/>
      <c r="KVD33" s="551"/>
      <c r="KVE33" s="551"/>
      <c r="KVF33" s="551"/>
      <c r="KVG33" s="551"/>
      <c r="KVH33" s="551"/>
      <c r="KVI33" s="551"/>
      <c r="KVJ33" s="551"/>
      <c r="KVK33" s="551"/>
      <c r="KVL33" s="551"/>
      <c r="KVM33" s="551"/>
      <c r="KVN33" s="551"/>
      <c r="KVO33" s="551"/>
      <c r="KVP33" s="551"/>
      <c r="KVQ33" s="551"/>
      <c r="KVR33" s="551"/>
      <c r="KVS33" s="551"/>
      <c r="KVT33" s="551"/>
      <c r="KVU33" s="551"/>
      <c r="KVV33" s="551"/>
      <c r="KVW33" s="551"/>
      <c r="KVX33" s="551"/>
      <c r="KVY33" s="551"/>
      <c r="KVZ33" s="551"/>
      <c r="KWA33" s="551"/>
      <c r="KWB33" s="551"/>
      <c r="KWC33" s="551"/>
      <c r="KWD33" s="551"/>
      <c r="KWE33" s="551"/>
      <c r="KWF33" s="551"/>
      <c r="KWG33" s="551"/>
      <c r="KWH33" s="551"/>
      <c r="KWI33" s="551"/>
      <c r="KWJ33" s="551"/>
      <c r="KWK33" s="551"/>
      <c r="KWL33" s="551"/>
      <c r="KWM33" s="551"/>
      <c r="KWN33" s="551"/>
      <c r="KWO33" s="551"/>
      <c r="KWP33" s="551"/>
      <c r="KWQ33" s="551"/>
      <c r="KWR33" s="551"/>
      <c r="KWS33" s="551"/>
      <c r="KWT33" s="551"/>
      <c r="KWU33" s="551"/>
      <c r="KWV33" s="551"/>
      <c r="KWW33" s="551"/>
      <c r="KWX33" s="551"/>
      <c r="KWY33" s="551"/>
      <c r="KWZ33" s="551"/>
      <c r="KXA33" s="551"/>
      <c r="KXB33" s="551"/>
      <c r="KXC33" s="551"/>
      <c r="KXD33" s="551"/>
      <c r="KXE33" s="551"/>
      <c r="KXF33" s="551"/>
      <c r="KXG33" s="551"/>
      <c r="KXH33" s="551"/>
      <c r="KXI33" s="551"/>
      <c r="KXJ33" s="551"/>
      <c r="KXK33" s="551"/>
      <c r="KXL33" s="551"/>
      <c r="KXM33" s="551"/>
      <c r="KXN33" s="551"/>
      <c r="KXO33" s="551"/>
      <c r="KXP33" s="551"/>
      <c r="KXQ33" s="551"/>
      <c r="KXR33" s="551"/>
      <c r="KXS33" s="551"/>
      <c r="KXT33" s="551"/>
      <c r="KXU33" s="551"/>
      <c r="KXV33" s="551"/>
      <c r="KXW33" s="551"/>
      <c r="KXX33" s="551"/>
      <c r="KXY33" s="551"/>
      <c r="KXZ33" s="551"/>
      <c r="KYA33" s="551"/>
      <c r="KYB33" s="551"/>
      <c r="KYC33" s="551"/>
      <c r="KYD33" s="551"/>
      <c r="KYE33" s="551"/>
      <c r="KYF33" s="551"/>
      <c r="KYG33" s="551"/>
      <c r="KYH33" s="551"/>
      <c r="KYI33" s="551"/>
      <c r="KYJ33" s="551"/>
      <c r="KYK33" s="551"/>
      <c r="KYL33" s="551"/>
      <c r="KYM33" s="551"/>
      <c r="KYN33" s="551"/>
      <c r="KYO33" s="551"/>
      <c r="KYP33" s="551"/>
      <c r="KYQ33" s="551"/>
      <c r="KYR33" s="551"/>
      <c r="KYS33" s="551"/>
      <c r="KYT33" s="551"/>
      <c r="KYU33" s="551"/>
      <c r="KYV33" s="551"/>
      <c r="KYW33" s="551"/>
      <c r="KYX33" s="551"/>
      <c r="KYY33" s="551"/>
      <c r="KYZ33" s="551"/>
      <c r="KZA33" s="551"/>
      <c r="KZB33" s="551"/>
      <c r="KZC33" s="551"/>
      <c r="KZD33" s="551"/>
      <c r="KZE33" s="551"/>
      <c r="KZF33" s="551"/>
      <c r="KZG33" s="551"/>
      <c r="KZH33" s="551"/>
      <c r="KZI33" s="551"/>
      <c r="KZJ33" s="551"/>
      <c r="KZK33" s="551"/>
      <c r="KZL33" s="551"/>
      <c r="KZM33" s="551"/>
      <c r="KZN33" s="551"/>
      <c r="KZO33" s="551"/>
      <c r="KZP33" s="551"/>
      <c r="KZQ33" s="551"/>
      <c r="KZR33" s="551"/>
      <c r="KZS33" s="551"/>
      <c r="KZT33" s="551"/>
      <c r="KZU33" s="551"/>
      <c r="KZV33" s="551"/>
      <c r="KZW33" s="551"/>
      <c r="KZX33" s="551"/>
      <c r="KZY33" s="551"/>
      <c r="KZZ33" s="551"/>
      <c r="LAA33" s="551"/>
      <c r="LAB33" s="551"/>
      <c r="LAC33" s="551"/>
      <c r="LAD33" s="551"/>
      <c r="LAE33" s="551"/>
      <c r="LAF33" s="551"/>
      <c r="LAG33" s="551"/>
      <c r="LAH33" s="551"/>
      <c r="LAI33" s="551"/>
      <c r="LAJ33" s="551"/>
      <c r="LAK33" s="551"/>
      <c r="LAL33" s="551"/>
      <c r="LAM33" s="551"/>
      <c r="LAN33" s="551"/>
      <c r="LAO33" s="551"/>
      <c r="LAP33" s="551"/>
      <c r="LAQ33" s="551"/>
      <c r="LAR33" s="551"/>
      <c r="LAS33" s="551"/>
      <c r="LAT33" s="551"/>
      <c r="LAU33" s="551"/>
      <c r="LAV33" s="551"/>
      <c r="LAW33" s="551"/>
      <c r="LAX33" s="551"/>
      <c r="LAY33" s="551"/>
      <c r="LAZ33" s="551"/>
      <c r="LBA33" s="551"/>
      <c r="LBB33" s="551"/>
      <c r="LBC33" s="551"/>
      <c r="LBD33" s="551"/>
      <c r="LBE33" s="551"/>
      <c r="LBF33" s="551"/>
      <c r="LBG33" s="551"/>
      <c r="LBH33" s="551"/>
      <c r="LBI33" s="551"/>
      <c r="LBJ33" s="551"/>
      <c r="LBK33" s="551"/>
      <c r="LBL33" s="551"/>
      <c r="LBM33" s="551"/>
      <c r="LBN33" s="551"/>
      <c r="LBO33" s="551"/>
      <c r="LBP33" s="551"/>
      <c r="LBQ33" s="551"/>
      <c r="LBR33" s="551"/>
      <c r="LBS33" s="551"/>
      <c r="LBT33" s="551"/>
      <c r="LBU33" s="551"/>
      <c r="LBV33" s="551"/>
      <c r="LBW33" s="551"/>
      <c r="LBX33" s="551"/>
      <c r="LBY33" s="551"/>
      <c r="LBZ33" s="551"/>
      <c r="LCA33" s="551"/>
      <c r="LCB33" s="551"/>
      <c r="LCC33" s="551"/>
      <c r="LCD33" s="551"/>
      <c r="LCE33" s="551"/>
      <c r="LCF33" s="551"/>
      <c r="LCG33" s="551"/>
      <c r="LCH33" s="551"/>
      <c r="LCI33" s="551"/>
      <c r="LCJ33" s="551"/>
      <c r="LCK33" s="551"/>
      <c r="LCL33" s="551"/>
      <c r="LCM33" s="551"/>
      <c r="LCN33" s="551"/>
      <c r="LCO33" s="551"/>
      <c r="LCP33" s="551"/>
      <c r="LCQ33" s="551"/>
      <c r="LCR33" s="551"/>
      <c r="LCS33" s="551"/>
      <c r="LCT33" s="551"/>
      <c r="LCU33" s="551"/>
      <c r="LCV33" s="551"/>
      <c r="LCW33" s="551"/>
      <c r="LCX33" s="551"/>
      <c r="LCY33" s="551"/>
      <c r="LCZ33" s="551"/>
      <c r="LDA33" s="551"/>
      <c r="LDB33" s="551"/>
      <c r="LDC33" s="551"/>
      <c r="LDD33" s="551"/>
      <c r="LDE33" s="551"/>
      <c r="LDF33" s="551"/>
      <c r="LDG33" s="551"/>
      <c r="LDH33" s="551"/>
      <c r="LDI33" s="551"/>
      <c r="LDJ33" s="551"/>
      <c r="LDK33" s="551"/>
      <c r="LDL33" s="551"/>
      <c r="LDM33" s="551"/>
      <c r="LDN33" s="551"/>
      <c r="LDO33" s="551"/>
      <c r="LDP33" s="551"/>
      <c r="LDQ33" s="551"/>
      <c r="LDR33" s="551"/>
      <c r="LDS33" s="551"/>
      <c r="LDT33" s="551"/>
      <c r="LDU33" s="551"/>
      <c r="LDV33" s="551"/>
      <c r="LDW33" s="551"/>
      <c r="LDX33" s="551"/>
      <c r="LDY33" s="551"/>
      <c r="LDZ33" s="551"/>
      <c r="LEA33" s="551"/>
      <c r="LEB33" s="551"/>
      <c r="LEC33" s="551"/>
      <c r="LED33" s="551"/>
      <c r="LEE33" s="551"/>
      <c r="LEF33" s="551"/>
      <c r="LEG33" s="551"/>
      <c r="LEH33" s="551"/>
      <c r="LEI33" s="551"/>
      <c r="LEJ33" s="551"/>
      <c r="LEK33" s="551"/>
      <c r="LEL33" s="551"/>
      <c r="LEM33" s="551"/>
      <c r="LEN33" s="551"/>
      <c r="LEO33" s="551"/>
      <c r="LEP33" s="551"/>
      <c r="LEQ33" s="551"/>
      <c r="LER33" s="551"/>
      <c r="LES33" s="551"/>
      <c r="LET33" s="551"/>
      <c r="LEU33" s="551"/>
      <c r="LEV33" s="551"/>
      <c r="LEW33" s="551"/>
      <c r="LEX33" s="551"/>
      <c r="LEY33" s="551"/>
      <c r="LEZ33" s="551"/>
      <c r="LFA33" s="551"/>
      <c r="LFB33" s="551"/>
      <c r="LFC33" s="551"/>
      <c r="LFD33" s="551"/>
      <c r="LFE33" s="551"/>
      <c r="LFF33" s="551"/>
      <c r="LFG33" s="551"/>
      <c r="LFH33" s="551"/>
      <c r="LFI33" s="551"/>
      <c r="LFJ33" s="551"/>
      <c r="LFK33" s="551"/>
      <c r="LFL33" s="551"/>
      <c r="LFM33" s="551"/>
      <c r="LFN33" s="551"/>
      <c r="LFO33" s="551"/>
      <c r="LFP33" s="551"/>
      <c r="LFQ33" s="551"/>
      <c r="LFR33" s="551"/>
      <c r="LFS33" s="551"/>
      <c r="LFT33" s="551"/>
      <c r="LFU33" s="551"/>
      <c r="LFV33" s="551"/>
      <c r="LFW33" s="551"/>
      <c r="LFX33" s="551"/>
      <c r="LFY33" s="551"/>
      <c r="LFZ33" s="551"/>
      <c r="LGA33" s="551"/>
      <c r="LGB33" s="551"/>
      <c r="LGC33" s="551"/>
      <c r="LGD33" s="551"/>
      <c r="LGE33" s="551"/>
      <c r="LGF33" s="551"/>
      <c r="LGG33" s="551"/>
      <c r="LGH33" s="551"/>
      <c r="LGI33" s="551"/>
      <c r="LGJ33" s="551"/>
      <c r="LGK33" s="551"/>
      <c r="LGL33" s="551"/>
      <c r="LGM33" s="551"/>
      <c r="LGN33" s="551"/>
      <c r="LGO33" s="551"/>
      <c r="LGP33" s="551"/>
      <c r="LGQ33" s="551"/>
      <c r="LGR33" s="551"/>
      <c r="LGS33" s="551"/>
      <c r="LGT33" s="551"/>
      <c r="LGU33" s="551"/>
      <c r="LGV33" s="551"/>
      <c r="LGW33" s="551"/>
      <c r="LGX33" s="551"/>
      <c r="LGY33" s="551"/>
      <c r="LGZ33" s="551"/>
      <c r="LHA33" s="551"/>
      <c r="LHB33" s="551"/>
      <c r="LHC33" s="551"/>
      <c r="LHD33" s="551"/>
      <c r="LHE33" s="551"/>
      <c r="LHF33" s="551"/>
      <c r="LHG33" s="551"/>
      <c r="LHH33" s="551"/>
      <c r="LHI33" s="551"/>
      <c r="LHJ33" s="551"/>
      <c r="LHK33" s="551"/>
      <c r="LHL33" s="551"/>
      <c r="LHM33" s="551"/>
      <c r="LHN33" s="551"/>
      <c r="LHO33" s="551"/>
      <c r="LHP33" s="551"/>
      <c r="LHQ33" s="551"/>
      <c r="LHR33" s="551"/>
      <c r="LHS33" s="551"/>
      <c r="LHT33" s="551"/>
      <c r="LHU33" s="551"/>
      <c r="LHV33" s="551"/>
      <c r="LHW33" s="551"/>
      <c r="LHX33" s="551"/>
      <c r="LHY33" s="551"/>
      <c r="LHZ33" s="551"/>
      <c r="LIA33" s="551"/>
      <c r="LIB33" s="551"/>
      <c r="LIC33" s="551"/>
      <c r="LID33" s="551"/>
      <c r="LIE33" s="551"/>
      <c r="LIF33" s="551"/>
      <c r="LIG33" s="551"/>
      <c r="LIH33" s="551"/>
      <c r="LII33" s="551"/>
      <c r="LIJ33" s="551"/>
      <c r="LIK33" s="551"/>
      <c r="LIL33" s="551"/>
      <c r="LIM33" s="551"/>
      <c r="LIN33" s="551"/>
      <c r="LIO33" s="551"/>
      <c r="LIP33" s="551"/>
      <c r="LIQ33" s="551"/>
      <c r="LIR33" s="551"/>
      <c r="LIS33" s="551"/>
      <c r="LIT33" s="551"/>
      <c r="LIU33" s="551"/>
      <c r="LIV33" s="551"/>
      <c r="LIW33" s="551"/>
      <c r="LIX33" s="551"/>
      <c r="LIY33" s="551"/>
      <c r="LIZ33" s="551"/>
      <c r="LJA33" s="551"/>
      <c r="LJB33" s="551"/>
      <c r="LJC33" s="551"/>
      <c r="LJD33" s="551"/>
      <c r="LJE33" s="551"/>
      <c r="LJF33" s="551"/>
      <c r="LJG33" s="551"/>
      <c r="LJH33" s="551"/>
      <c r="LJI33" s="551"/>
      <c r="LJJ33" s="551"/>
      <c r="LJK33" s="551"/>
      <c r="LJL33" s="551"/>
      <c r="LJM33" s="551"/>
      <c r="LJN33" s="551"/>
      <c r="LJO33" s="551"/>
      <c r="LJP33" s="551"/>
      <c r="LJQ33" s="551"/>
      <c r="LJR33" s="551"/>
      <c r="LJS33" s="551"/>
      <c r="LJT33" s="551"/>
      <c r="LJU33" s="551"/>
      <c r="LJV33" s="551"/>
      <c r="LJW33" s="551"/>
      <c r="LJX33" s="551"/>
      <c r="LJY33" s="551"/>
      <c r="LJZ33" s="551"/>
      <c r="LKA33" s="551"/>
      <c r="LKB33" s="551"/>
      <c r="LKC33" s="551"/>
      <c r="LKD33" s="551"/>
      <c r="LKE33" s="551"/>
      <c r="LKF33" s="551"/>
      <c r="LKG33" s="551"/>
      <c r="LKH33" s="551"/>
      <c r="LKI33" s="551"/>
      <c r="LKJ33" s="551"/>
      <c r="LKK33" s="551"/>
      <c r="LKL33" s="551"/>
      <c r="LKM33" s="551"/>
      <c r="LKN33" s="551"/>
      <c r="LKO33" s="551"/>
      <c r="LKP33" s="551"/>
      <c r="LKQ33" s="551"/>
      <c r="LKR33" s="551"/>
      <c r="LKS33" s="551"/>
      <c r="LKT33" s="551"/>
      <c r="LKU33" s="551"/>
      <c r="LKV33" s="551"/>
      <c r="LKW33" s="551"/>
      <c r="LKX33" s="551"/>
      <c r="LKY33" s="551"/>
      <c r="LKZ33" s="551"/>
      <c r="LLA33" s="551"/>
      <c r="LLB33" s="551"/>
      <c r="LLC33" s="551"/>
      <c r="LLD33" s="551"/>
      <c r="LLE33" s="551"/>
      <c r="LLF33" s="551"/>
      <c r="LLG33" s="551"/>
      <c r="LLH33" s="551"/>
      <c r="LLI33" s="551"/>
      <c r="LLJ33" s="551"/>
      <c r="LLK33" s="551"/>
      <c r="LLL33" s="551"/>
      <c r="LLM33" s="551"/>
      <c r="LLN33" s="551"/>
      <c r="LLO33" s="551"/>
      <c r="LLP33" s="551"/>
      <c r="LLQ33" s="551"/>
      <c r="LLR33" s="551"/>
      <c r="LLS33" s="551"/>
      <c r="LLT33" s="551"/>
      <c r="LLU33" s="551"/>
      <c r="LLV33" s="551"/>
      <c r="LLW33" s="551"/>
      <c r="LLX33" s="551"/>
      <c r="LLY33" s="551"/>
      <c r="LLZ33" s="551"/>
      <c r="LMA33" s="551"/>
      <c r="LMB33" s="551"/>
      <c r="LMC33" s="551"/>
      <c r="LMD33" s="551"/>
      <c r="LME33" s="551"/>
      <c r="LMF33" s="551"/>
      <c r="LMG33" s="551"/>
      <c r="LMH33" s="551"/>
      <c r="LMI33" s="551"/>
      <c r="LMJ33" s="551"/>
      <c r="LMK33" s="551"/>
      <c r="LML33" s="551"/>
      <c r="LMM33" s="551"/>
      <c r="LMN33" s="551"/>
      <c r="LMO33" s="551"/>
      <c r="LMP33" s="551"/>
      <c r="LMQ33" s="551"/>
      <c r="LMR33" s="551"/>
      <c r="LMS33" s="551"/>
      <c r="LMT33" s="551"/>
      <c r="LMU33" s="551"/>
      <c r="LMV33" s="551"/>
      <c r="LMW33" s="551"/>
      <c r="LMX33" s="551"/>
      <c r="LMY33" s="551"/>
      <c r="LMZ33" s="551"/>
      <c r="LNA33" s="551"/>
      <c r="LNB33" s="551"/>
      <c r="LNC33" s="551"/>
      <c r="LND33" s="551"/>
      <c r="LNE33" s="551"/>
      <c r="LNF33" s="551"/>
      <c r="LNG33" s="551"/>
      <c r="LNH33" s="551"/>
      <c r="LNI33" s="551"/>
      <c r="LNJ33" s="551"/>
      <c r="LNK33" s="551"/>
      <c r="LNL33" s="551"/>
      <c r="LNM33" s="551"/>
      <c r="LNN33" s="551"/>
      <c r="LNO33" s="551"/>
      <c r="LNP33" s="551"/>
      <c r="LNQ33" s="551"/>
      <c r="LNR33" s="551"/>
      <c r="LNS33" s="551"/>
      <c r="LNT33" s="551"/>
      <c r="LNU33" s="551"/>
      <c r="LNV33" s="551"/>
      <c r="LNW33" s="551"/>
      <c r="LNX33" s="551"/>
      <c r="LNY33" s="551"/>
      <c r="LNZ33" s="551"/>
      <c r="LOA33" s="551"/>
      <c r="LOB33" s="551"/>
      <c r="LOC33" s="551"/>
      <c r="LOD33" s="551"/>
      <c r="LOE33" s="551"/>
      <c r="LOF33" s="551"/>
      <c r="LOG33" s="551"/>
      <c r="LOH33" s="551"/>
      <c r="LOI33" s="551"/>
      <c r="LOJ33" s="551"/>
      <c r="LOK33" s="551"/>
      <c r="LOL33" s="551"/>
      <c r="LOM33" s="551"/>
      <c r="LON33" s="551"/>
      <c r="LOO33" s="551"/>
      <c r="LOP33" s="551"/>
      <c r="LOQ33" s="551"/>
      <c r="LOR33" s="551"/>
      <c r="LOS33" s="551"/>
      <c r="LOT33" s="551"/>
      <c r="LOU33" s="551"/>
      <c r="LOV33" s="551"/>
      <c r="LOW33" s="551"/>
      <c r="LOX33" s="551"/>
      <c r="LOY33" s="551"/>
      <c r="LOZ33" s="551"/>
      <c r="LPA33" s="551"/>
      <c r="LPB33" s="551"/>
      <c r="LPC33" s="551"/>
      <c r="LPD33" s="551"/>
      <c r="LPE33" s="551"/>
      <c r="LPF33" s="551"/>
      <c r="LPG33" s="551"/>
      <c r="LPH33" s="551"/>
      <c r="LPI33" s="551"/>
      <c r="LPJ33" s="551"/>
      <c r="LPK33" s="551"/>
      <c r="LPL33" s="551"/>
      <c r="LPM33" s="551"/>
      <c r="LPN33" s="551"/>
      <c r="LPO33" s="551"/>
      <c r="LPP33" s="551"/>
      <c r="LPQ33" s="551"/>
      <c r="LPR33" s="551"/>
      <c r="LPS33" s="551"/>
      <c r="LPT33" s="551"/>
      <c r="LPU33" s="551"/>
      <c r="LPV33" s="551"/>
      <c r="LPW33" s="551"/>
      <c r="LPX33" s="551"/>
      <c r="LPY33" s="551"/>
      <c r="LPZ33" s="551"/>
      <c r="LQA33" s="551"/>
      <c r="LQB33" s="551"/>
      <c r="LQC33" s="551"/>
      <c r="LQD33" s="551"/>
      <c r="LQE33" s="551"/>
      <c r="LQF33" s="551"/>
      <c r="LQG33" s="551"/>
      <c r="LQH33" s="551"/>
      <c r="LQI33" s="551"/>
      <c r="LQJ33" s="551"/>
      <c r="LQK33" s="551"/>
      <c r="LQL33" s="551"/>
      <c r="LQM33" s="551"/>
      <c r="LQN33" s="551"/>
      <c r="LQO33" s="551"/>
      <c r="LQP33" s="551"/>
      <c r="LQQ33" s="551"/>
      <c r="LQR33" s="551"/>
      <c r="LQS33" s="551"/>
      <c r="LQT33" s="551"/>
      <c r="LQU33" s="551"/>
      <c r="LQV33" s="551"/>
      <c r="LQW33" s="551"/>
      <c r="LQX33" s="551"/>
      <c r="LQY33" s="551"/>
      <c r="LQZ33" s="551"/>
      <c r="LRA33" s="551"/>
      <c r="LRB33" s="551"/>
      <c r="LRC33" s="551"/>
      <c r="LRD33" s="551"/>
      <c r="LRE33" s="551"/>
      <c r="LRF33" s="551"/>
      <c r="LRG33" s="551"/>
      <c r="LRH33" s="551"/>
      <c r="LRI33" s="551"/>
      <c r="LRJ33" s="551"/>
      <c r="LRK33" s="551"/>
      <c r="LRL33" s="551"/>
      <c r="LRM33" s="551"/>
      <c r="LRN33" s="551"/>
      <c r="LRO33" s="551"/>
      <c r="LRP33" s="551"/>
      <c r="LRQ33" s="551"/>
      <c r="LRR33" s="551"/>
      <c r="LRS33" s="551"/>
      <c r="LRT33" s="551"/>
      <c r="LRU33" s="551"/>
      <c r="LRV33" s="551"/>
      <c r="LRW33" s="551"/>
      <c r="LRX33" s="551"/>
      <c r="LRY33" s="551"/>
      <c r="LRZ33" s="551"/>
      <c r="LSA33" s="551"/>
      <c r="LSB33" s="551"/>
      <c r="LSC33" s="551"/>
      <c r="LSD33" s="551"/>
      <c r="LSE33" s="551"/>
      <c r="LSF33" s="551"/>
      <c r="LSG33" s="551"/>
      <c r="LSH33" s="551"/>
      <c r="LSI33" s="551"/>
      <c r="LSJ33" s="551"/>
      <c r="LSK33" s="551"/>
      <c r="LSL33" s="551"/>
      <c r="LSM33" s="551"/>
      <c r="LSN33" s="551"/>
      <c r="LSO33" s="551"/>
      <c r="LSP33" s="551"/>
      <c r="LSQ33" s="551"/>
      <c r="LSR33" s="551"/>
      <c r="LSS33" s="551"/>
      <c r="LST33" s="551"/>
      <c r="LSU33" s="551"/>
      <c r="LSV33" s="551"/>
      <c r="LSW33" s="551"/>
      <c r="LSX33" s="551"/>
      <c r="LSY33" s="551"/>
      <c r="LSZ33" s="551"/>
      <c r="LTA33" s="551"/>
      <c r="LTB33" s="551"/>
      <c r="LTC33" s="551"/>
      <c r="LTD33" s="551"/>
      <c r="LTE33" s="551"/>
      <c r="LTF33" s="551"/>
      <c r="LTG33" s="551"/>
      <c r="LTH33" s="551"/>
      <c r="LTI33" s="551"/>
      <c r="LTJ33" s="551"/>
      <c r="LTK33" s="551"/>
      <c r="LTL33" s="551"/>
      <c r="LTM33" s="551"/>
      <c r="LTN33" s="551"/>
      <c r="LTO33" s="551"/>
      <c r="LTP33" s="551"/>
      <c r="LTQ33" s="551"/>
      <c r="LTR33" s="551"/>
      <c r="LTS33" s="551"/>
      <c r="LTT33" s="551"/>
      <c r="LTU33" s="551"/>
      <c r="LTV33" s="551"/>
      <c r="LTW33" s="551"/>
      <c r="LTX33" s="551"/>
      <c r="LTY33" s="551"/>
      <c r="LTZ33" s="551"/>
      <c r="LUA33" s="551"/>
      <c r="LUB33" s="551"/>
      <c r="LUC33" s="551"/>
      <c r="LUD33" s="551"/>
      <c r="LUE33" s="551"/>
      <c r="LUF33" s="551"/>
      <c r="LUG33" s="551"/>
      <c r="LUH33" s="551"/>
      <c r="LUI33" s="551"/>
      <c r="LUJ33" s="551"/>
      <c r="LUK33" s="551"/>
      <c r="LUL33" s="551"/>
      <c r="LUM33" s="551"/>
      <c r="LUN33" s="551"/>
      <c r="LUO33" s="551"/>
      <c r="LUP33" s="551"/>
      <c r="LUQ33" s="551"/>
      <c r="LUR33" s="551"/>
      <c r="LUS33" s="551"/>
      <c r="LUT33" s="551"/>
      <c r="LUU33" s="551"/>
      <c r="LUV33" s="551"/>
      <c r="LUW33" s="551"/>
      <c r="LUX33" s="551"/>
      <c r="LUY33" s="551"/>
      <c r="LUZ33" s="551"/>
      <c r="LVA33" s="551"/>
      <c r="LVB33" s="551"/>
      <c r="LVC33" s="551"/>
      <c r="LVD33" s="551"/>
      <c r="LVE33" s="551"/>
      <c r="LVF33" s="551"/>
      <c r="LVG33" s="551"/>
      <c r="LVH33" s="551"/>
      <c r="LVI33" s="551"/>
      <c r="LVJ33" s="551"/>
      <c r="LVK33" s="551"/>
      <c r="LVL33" s="551"/>
      <c r="LVM33" s="551"/>
      <c r="LVN33" s="551"/>
      <c r="LVO33" s="551"/>
      <c r="LVP33" s="551"/>
      <c r="LVQ33" s="551"/>
      <c r="LVR33" s="551"/>
      <c r="LVS33" s="551"/>
      <c r="LVT33" s="551"/>
      <c r="LVU33" s="551"/>
      <c r="LVV33" s="551"/>
      <c r="LVW33" s="551"/>
      <c r="LVX33" s="551"/>
      <c r="LVY33" s="551"/>
      <c r="LVZ33" s="551"/>
      <c r="LWA33" s="551"/>
      <c r="LWB33" s="551"/>
      <c r="LWC33" s="551"/>
      <c r="LWD33" s="551"/>
      <c r="LWE33" s="551"/>
      <c r="LWF33" s="551"/>
      <c r="LWG33" s="551"/>
      <c r="LWH33" s="551"/>
      <c r="LWI33" s="551"/>
      <c r="LWJ33" s="551"/>
      <c r="LWK33" s="551"/>
      <c r="LWL33" s="551"/>
      <c r="LWM33" s="551"/>
      <c r="LWN33" s="551"/>
      <c r="LWO33" s="551"/>
      <c r="LWP33" s="551"/>
      <c r="LWQ33" s="551"/>
      <c r="LWR33" s="551"/>
      <c r="LWS33" s="551"/>
      <c r="LWT33" s="551"/>
      <c r="LWU33" s="551"/>
      <c r="LWV33" s="551"/>
      <c r="LWW33" s="551"/>
      <c r="LWX33" s="551"/>
      <c r="LWY33" s="551"/>
      <c r="LWZ33" s="551"/>
      <c r="LXA33" s="551"/>
      <c r="LXB33" s="551"/>
      <c r="LXC33" s="551"/>
      <c r="LXD33" s="551"/>
      <c r="LXE33" s="551"/>
      <c r="LXF33" s="551"/>
      <c r="LXG33" s="551"/>
      <c r="LXH33" s="551"/>
      <c r="LXI33" s="551"/>
      <c r="LXJ33" s="551"/>
      <c r="LXK33" s="551"/>
      <c r="LXL33" s="551"/>
      <c r="LXM33" s="551"/>
      <c r="LXN33" s="551"/>
      <c r="LXO33" s="551"/>
      <c r="LXP33" s="551"/>
      <c r="LXQ33" s="551"/>
      <c r="LXR33" s="551"/>
      <c r="LXS33" s="551"/>
      <c r="LXT33" s="551"/>
      <c r="LXU33" s="551"/>
      <c r="LXV33" s="551"/>
      <c r="LXW33" s="551"/>
      <c r="LXX33" s="551"/>
      <c r="LXY33" s="551"/>
      <c r="LXZ33" s="551"/>
      <c r="LYA33" s="551"/>
      <c r="LYB33" s="551"/>
      <c r="LYC33" s="551"/>
      <c r="LYD33" s="551"/>
      <c r="LYE33" s="551"/>
      <c r="LYF33" s="551"/>
      <c r="LYG33" s="551"/>
      <c r="LYH33" s="551"/>
      <c r="LYI33" s="551"/>
      <c r="LYJ33" s="551"/>
      <c r="LYK33" s="551"/>
      <c r="LYL33" s="551"/>
      <c r="LYM33" s="551"/>
      <c r="LYN33" s="551"/>
      <c r="LYO33" s="551"/>
      <c r="LYP33" s="551"/>
      <c r="LYQ33" s="551"/>
      <c r="LYR33" s="551"/>
      <c r="LYS33" s="551"/>
      <c r="LYT33" s="551"/>
      <c r="LYU33" s="551"/>
      <c r="LYV33" s="551"/>
      <c r="LYW33" s="551"/>
      <c r="LYX33" s="551"/>
      <c r="LYY33" s="551"/>
      <c r="LYZ33" s="551"/>
      <c r="LZA33" s="551"/>
      <c r="LZB33" s="551"/>
      <c r="LZC33" s="551"/>
      <c r="LZD33" s="551"/>
      <c r="LZE33" s="551"/>
      <c r="LZF33" s="551"/>
      <c r="LZG33" s="551"/>
      <c r="LZH33" s="551"/>
      <c r="LZI33" s="551"/>
      <c r="LZJ33" s="551"/>
      <c r="LZK33" s="551"/>
      <c r="LZL33" s="551"/>
      <c r="LZM33" s="551"/>
      <c r="LZN33" s="551"/>
      <c r="LZO33" s="551"/>
      <c r="LZP33" s="551"/>
      <c r="LZQ33" s="551"/>
      <c r="LZR33" s="551"/>
      <c r="LZS33" s="551"/>
      <c r="LZT33" s="551"/>
      <c r="LZU33" s="551"/>
      <c r="LZV33" s="551"/>
      <c r="LZW33" s="551"/>
      <c r="LZX33" s="551"/>
      <c r="LZY33" s="551"/>
      <c r="LZZ33" s="551"/>
      <c r="MAA33" s="551"/>
      <c r="MAB33" s="551"/>
      <c r="MAC33" s="551"/>
      <c r="MAD33" s="551"/>
      <c r="MAE33" s="551"/>
      <c r="MAF33" s="551"/>
      <c r="MAG33" s="551"/>
      <c r="MAH33" s="551"/>
      <c r="MAI33" s="551"/>
      <c r="MAJ33" s="551"/>
      <c r="MAK33" s="551"/>
      <c r="MAL33" s="551"/>
      <c r="MAM33" s="551"/>
      <c r="MAN33" s="551"/>
      <c r="MAO33" s="551"/>
      <c r="MAP33" s="551"/>
      <c r="MAQ33" s="551"/>
      <c r="MAR33" s="551"/>
      <c r="MAS33" s="551"/>
      <c r="MAT33" s="551"/>
      <c r="MAU33" s="551"/>
      <c r="MAV33" s="551"/>
      <c r="MAW33" s="551"/>
      <c r="MAX33" s="551"/>
      <c r="MAY33" s="551"/>
      <c r="MAZ33" s="551"/>
      <c r="MBA33" s="551"/>
      <c r="MBB33" s="551"/>
      <c r="MBC33" s="551"/>
      <c r="MBD33" s="551"/>
      <c r="MBE33" s="551"/>
      <c r="MBF33" s="551"/>
      <c r="MBG33" s="551"/>
      <c r="MBH33" s="551"/>
      <c r="MBI33" s="551"/>
      <c r="MBJ33" s="551"/>
      <c r="MBK33" s="551"/>
      <c r="MBL33" s="551"/>
      <c r="MBM33" s="551"/>
      <c r="MBN33" s="551"/>
      <c r="MBO33" s="551"/>
      <c r="MBP33" s="551"/>
      <c r="MBQ33" s="551"/>
      <c r="MBR33" s="551"/>
      <c r="MBS33" s="551"/>
      <c r="MBT33" s="551"/>
      <c r="MBU33" s="551"/>
      <c r="MBV33" s="551"/>
      <c r="MBW33" s="551"/>
      <c r="MBX33" s="551"/>
      <c r="MBY33" s="551"/>
      <c r="MBZ33" s="551"/>
      <c r="MCA33" s="551"/>
      <c r="MCB33" s="551"/>
      <c r="MCC33" s="551"/>
      <c r="MCD33" s="551"/>
      <c r="MCE33" s="551"/>
      <c r="MCF33" s="551"/>
      <c r="MCG33" s="551"/>
      <c r="MCH33" s="551"/>
      <c r="MCI33" s="551"/>
      <c r="MCJ33" s="551"/>
      <c r="MCK33" s="551"/>
      <c r="MCL33" s="551"/>
      <c r="MCM33" s="551"/>
      <c r="MCN33" s="551"/>
      <c r="MCO33" s="551"/>
      <c r="MCP33" s="551"/>
      <c r="MCQ33" s="551"/>
      <c r="MCR33" s="551"/>
      <c r="MCS33" s="551"/>
      <c r="MCT33" s="551"/>
      <c r="MCU33" s="551"/>
      <c r="MCV33" s="551"/>
      <c r="MCW33" s="551"/>
      <c r="MCX33" s="551"/>
      <c r="MCY33" s="551"/>
      <c r="MCZ33" s="551"/>
      <c r="MDA33" s="551"/>
      <c r="MDB33" s="551"/>
      <c r="MDC33" s="551"/>
      <c r="MDD33" s="551"/>
      <c r="MDE33" s="551"/>
      <c r="MDF33" s="551"/>
      <c r="MDG33" s="551"/>
      <c r="MDH33" s="551"/>
      <c r="MDI33" s="551"/>
      <c r="MDJ33" s="551"/>
      <c r="MDK33" s="551"/>
      <c r="MDL33" s="551"/>
      <c r="MDM33" s="551"/>
      <c r="MDN33" s="551"/>
      <c r="MDO33" s="551"/>
      <c r="MDP33" s="551"/>
      <c r="MDQ33" s="551"/>
      <c r="MDR33" s="551"/>
      <c r="MDS33" s="551"/>
      <c r="MDT33" s="551"/>
      <c r="MDU33" s="551"/>
      <c r="MDV33" s="551"/>
      <c r="MDW33" s="551"/>
      <c r="MDX33" s="551"/>
      <c r="MDY33" s="551"/>
      <c r="MDZ33" s="551"/>
      <c r="MEA33" s="551"/>
      <c r="MEB33" s="551"/>
      <c r="MEC33" s="551"/>
      <c r="MED33" s="551"/>
      <c r="MEE33" s="551"/>
      <c r="MEF33" s="551"/>
      <c r="MEG33" s="551"/>
      <c r="MEH33" s="551"/>
      <c r="MEI33" s="551"/>
      <c r="MEJ33" s="551"/>
      <c r="MEK33" s="551"/>
      <c r="MEL33" s="551"/>
      <c r="MEM33" s="551"/>
      <c r="MEN33" s="551"/>
      <c r="MEO33" s="551"/>
      <c r="MEP33" s="551"/>
      <c r="MEQ33" s="551"/>
      <c r="MER33" s="551"/>
      <c r="MES33" s="551"/>
      <c r="MET33" s="551"/>
      <c r="MEU33" s="551"/>
      <c r="MEV33" s="551"/>
      <c r="MEW33" s="551"/>
      <c r="MEX33" s="551"/>
      <c r="MEY33" s="551"/>
      <c r="MEZ33" s="551"/>
      <c r="MFA33" s="551"/>
      <c r="MFB33" s="551"/>
      <c r="MFC33" s="551"/>
      <c r="MFD33" s="551"/>
      <c r="MFE33" s="551"/>
      <c r="MFF33" s="551"/>
      <c r="MFG33" s="551"/>
      <c r="MFH33" s="551"/>
      <c r="MFI33" s="551"/>
      <c r="MFJ33" s="551"/>
      <c r="MFK33" s="551"/>
      <c r="MFL33" s="551"/>
      <c r="MFM33" s="551"/>
      <c r="MFN33" s="551"/>
      <c r="MFO33" s="551"/>
      <c r="MFP33" s="551"/>
      <c r="MFQ33" s="551"/>
      <c r="MFR33" s="551"/>
      <c r="MFS33" s="551"/>
      <c r="MFT33" s="551"/>
      <c r="MFU33" s="551"/>
      <c r="MFV33" s="551"/>
      <c r="MFW33" s="551"/>
      <c r="MFX33" s="551"/>
      <c r="MFY33" s="551"/>
      <c r="MFZ33" s="551"/>
      <c r="MGA33" s="551"/>
      <c r="MGB33" s="551"/>
      <c r="MGC33" s="551"/>
      <c r="MGD33" s="551"/>
      <c r="MGE33" s="551"/>
      <c r="MGF33" s="551"/>
      <c r="MGG33" s="551"/>
      <c r="MGH33" s="551"/>
      <c r="MGI33" s="551"/>
      <c r="MGJ33" s="551"/>
      <c r="MGK33" s="551"/>
      <c r="MGL33" s="551"/>
      <c r="MGM33" s="551"/>
      <c r="MGN33" s="551"/>
      <c r="MGO33" s="551"/>
      <c r="MGP33" s="551"/>
      <c r="MGQ33" s="551"/>
      <c r="MGR33" s="551"/>
      <c r="MGS33" s="551"/>
      <c r="MGT33" s="551"/>
      <c r="MGU33" s="551"/>
      <c r="MGV33" s="551"/>
      <c r="MGW33" s="551"/>
      <c r="MGX33" s="551"/>
      <c r="MGY33" s="551"/>
      <c r="MGZ33" s="551"/>
      <c r="MHA33" s="551"/>
      <c r="MHB33" s="551"/>
      <c r="MHC33" s="551"/>
      <c r="MHD33" s="551"/>
      <c r="MHE33" s="551"/>
      <c r="MHF33" s="551"/>
      <c r="MHG33" s="551"/>
      <c r="MHH33" s="551"/>
      <c r="MHI33" s="551"/>
      <c r="MHJ33" s="551"/>
      <c r="MHK33" s="551"/>
      <c r="MHL33" s="551"/>
      <c r="MHM33" s="551"/>
      <c r="MHN33" s="551"/>
      <c r="MHO33" s="551"/>
      <c r="MHP33" s="551"/>
      <c r="MHQ33" s="551"/>
      <c r="MHR33" s="551"/>
      <c r="MHS33" s="551"/>
      <c r="MHT33" s="551"/>
      <c r="MHU33" s="551"/>
      <c r="MHV33" s="551"/>
      <c r="MHW33" s="551"/>
      <c r="MHX33" s="551"/>
      <c r="MHY33" s="551"/>
      <c r="MHZ33" s="551"/>
      <c r="MIA33" s="551"/>
      <c r="MIB33" s="551"/>
      <c r="MIC33" s="551"/>
      <c r="MID33" s="551"/>
      <c r="MIE33" s="551"/>
      <c r="MIF33" s="551"/>
      <c r="MIG33" s="551"/>
      <c r="MIH33" s="551"/>
      <c r="MII33" s="551"/>
      <c r="MIJ33" s="551"/>
      <c r="MIK33" s="551"/>
      <c r="MIL33" s="551"/>
      <c r="MIM33" s="551"/>
      <c r="MIN33" s="551"/>
      <c r="MIO33" s="551"/>
      <c r="MIP33" s="551"/>
      <c r="MIQ33" s="551"/>
      <c r="MIR33" s="551"/>
      <c r="MIS33" s="551"/>
      <c r="MIT33" s="551"/>
      <c r="MIU33" s="551"/>
      <c r="MIV33" s="551"/>
      <c r="MIW33" s="551"/>
      <c r="MIX33" s="551"/>
      <c r="MIY33" s="551"/>
      <c r="MIZ33" s="551"/>
      <c r="MJA33" s="551"/>
      <c r="MJB33" s="551"/>
      <c r="MJC33" s="551"/>
      <c r="MJD33" s="551"/>
      <c r="MJE33" s="551"/>
      <c r="MJF33" s="551"/>
      <c r="MJG33" s="551"/>
      <c r="MJH33" s="551"/>
      <c r="MJI33" s="551"/>
      <c r="MJJ33" s="551"/>
      <c r="MJK33" s="551"/>
      <c r="MJL33" s="551"/>
      <c r="MJM33" s="551"/>
      <c r="MJN33" s="551"/>
      <c r="MJO33" s="551"/>
      <c r="MJP33" s="551"/>
      <c r="MJQ33" s="551"/>
      <c r="MJR33" s="551"/>
      <c r="MJS33" s="551"/>
      <c r="MJT33" s="551"/>
      <c r="MJU33" s="551"/>
      <c r="MJV33" s="551"/>
      <c r="MJW33" s="551"/>
      <c r="MJX33" s="551"/>
      <c r="MJY33" s="551"/>
      <c r="MJZ33" s="551"/>
      <c r="MKA33" s="551"/>
      <c r="MKB33" s="551"/>
      <c r="MKC33" s="551"/>
      <c r="MKD33" s="551"/>
      <c r="MKE33" s="551"/>
      <c r="MKF33" s="551"/>
      <c r="MKG33" s="551"/>
      <c r="MKH33" s="551"/>
      <c r="MKI33" s="551"/>
      <c r="MKJ33" s="551"/>
      <c r="MKK33" s="551"/>
      <c r="MKL33" s="551"/>
      <c r="MKM33" s="551"/>
      <c r="MKN33" s="551"/>
      <c r="MKO33" s="551"/>
      <c r="MKP33" s="551"/>
      <c r="MKQ33" s="551"/>
      <c r="MKR33" s="551"/>
      <c r="MKS33" s="551"/>
      <c r="MKT33" s="551"/>
      <c r="MKU33" s="551"/>
      <c r="MKV33" s="551"/>
      <c r="MKW33" s="551"/>
      <c r="MKX33" s="551"/>
      <c r="MKY33" s="551"/>
      <c r="MKZ33" s="551"/>
      <c r="MLA33" s="551"/>
      <c r="MLB33" s="551"/>
      <c r="MLC33" s="551"/>
      <c r="MLD33" s="551"/>
      <c r="MLE33" s="551"/>
      <c r="MLF33" s="551"/>
      <c r="MLG33" s="551"/>
      <c r="MLH33" s="551"/>
      <c r="MLI33" s="551"/>
      <c r="MLJ33" s="551"/>
      <c r="MLK33" s="551"/>
      <c r="MLL33" s="551"/>
      <c r="MLM33" s="551"/>
      <c r="MLN33" s="551"/>
      <c r="MLO33" s="551"/>
      <c r="MLP33" s="551"/>
      <c r="MLQ33" s="551"/>
      <c r="MLR33" s="551"/>
      <c r="MLS33" s="551"/>
      <c r="MLT33" s="551"/>
      <c r="MLU33" s="551"/>
      <c r="MLV33" s="551"/>
      <c r="MLW33" s="551"/>
      <c r="MLX33" s="551"/>
      <c r="MLY33" s="551"/>
      <c r="MLZ33" s="551"/>
      <c r="MMA33" s="551"/>
      <c r="MMB33" s="551"/>
      <c r="MMC33" s="551"/>
      <c r="MMD33" s="551"/>
      <c r="MME33" s="551"/>
      <c r="MMF33" s="551"/>
      <c r="MMG33" s="551"/>
      <c r="MMH33" s="551"/>
      <c r="MMI33" s="551"/>
      <c r="MMJ33" s="551"/>
      <c r="MMK33" s="551"/>
      <c r="MML33" s="551"/>
      <c r="MMM33" s="551"/>
      <c r="MMN33" s="551"/>
      <c r="MMO33" s="551"/>
      <c r="MMP33" s="551"/>
      <c r="MMQ33" s="551"/>
      <c r="MMR33" s="551"/>
      <c r="MMS33" s="551"/>
      <c r="MMT33" s="551"/>
      <c r="MMU33" s="551"/>
      <c r="MMV33" s="551"/>
      <c r="MMW33" s="551"/>
      <c r="MMX33" s="551"/>
      <c r="MMY33" s="551"/>
      <c r="MMZ33" s="551"/>
      <c r="MNA33" s="551"/>
      <c r="MNB33" s="551"/>
      <c r="MNC33" s="551"/>
      <c r="MND33" s="551"/>
      <c r="MNE33" s="551"/>
      <c r="MNF33" s="551"/>
      <c r="MNG33" s="551"/>
      <c r="MNH33" s="551"/>
      <c r="MNI33" s="551"/>
      <c r="MNJ33" s="551"/>
      <c r="MNK33" s="551"/>
      <c r="MNL33" s="551"/>
      <c r="MNM33" s="551"/>
      <c r="MNN33" s="551"/>
      <c r="MNO33" s="551"/>
      <c r="MNP33" s="551"/>
      <c r="MNQ33" s="551"/>
      <c r="MNR33" s="551"/>
      <c r="MNS33" s="551"/>
      <c r="MNT33" s="551"/>
      <c r="MNU33" s="551"/>
      <c r="MNV33" s="551"/>
      <c r="MNW33" s="551"/>
      <c r="MNX33" s="551"/>
      <c r="MNY33" s="551"/>
      <c r="MNZ33" s="551"/>
      <c r="MOA33" s="551"/>
      <c r="MOB33" s="551"/>
      <c r="MOC33" s="551"/>
      <c r="MOD33" s="551"/>
      <c r="MOE33" s="551"/>
      <c r="MOF33" s="551"/>
      <c r="MOG33" s="551"/>
      <c r="MOH33" s="551"/>
      <c r="MOI33" s="551"/>
      <c r="MOJ33" s="551"/>
      <c r="MOK33" s="551"/>
      <c r="MOL33" s="551"/>
      <c r="MOM33" s="551"/>
      <c r="MON33" s="551"/>
      <c r="MOO33" s="551"/>
      <c r="MOP33" s="551"/>
      <c r="MOQ33" s="551"/>
      <c r="MOR33" s="551"/>
      <c r="MOS33" s="551"/>
      <c r="MOT33" s="551"/>
      <c r="MOU33" s="551"/>
      <c r="MOV33" s="551"/>
      <c r="MOW33" s="551"/>
      <c r="MOX33" s="551"/>
      <c r="MOY33" s="551"/>
      <c r="MOZ33" s="551"/>
      <c r="MPA33" s="551"/>
      <c r="MPB33" s="551"/>
      <c r="MPC33" s="551"/>
      <c r="MPD33" s="551"/>
      <c r="MPE33" s="551"/>
      <c r="MPF33" s="551"/>
      <c r="MPG33" s="551"/>
      <c r="MPH33" s="551"/>
      <c r="MPI33" s="551"/>
      <c r="MPJ33" s="551"/>
      <c r="MPK33" s="551"/>
      <c r="MPL33" s="551"/>
      <c r="MPM33" s="551"/>
      <c r="MPN33" s="551"/>
      <c r="MPO33" s="551"/>
      <c r="MPP33" s="551"/>
      <c r="MPQ33" s="551"/>
      <c r="MPR33" s="551"/>
      <c r="MPS33" s="551"/>
      <c r="MPT33" s="551"/>
      <c r="MPU33" s="551"/>
      <c r="MPV33" s="551"/>
      <c r="MPW33" s="551"/>
      <c r="MPX33" s="551"/>
      <c r="MPY33" s="551"/>
      <c r="MPZ33" s="551"/>
      <c r="MQA33" s="551"/>
      <c r="MQB33" s="551"/>
      <c r="MQC33" s="551"/>
      <c r="MQD33" s="551"/>
      <c r="MQE33" s="551"/>
      <c r="MQF33" s="551"/>
      <c r="MQG33" s="551"/>
      <c r="MQH33" s="551"/>
      <c r="MQI33" s="551"/>
      <c r="MQJ33" s="551"/>
      <c r="MQK33" s="551"/>
      <c r="MQL33" s="551"/>
      <c r="MQM33" s="551"/>
      <c r="MQN33" s="551"/>
      <c r="MQO33" s="551"/>
      <c r="MQP33" s="551"/>
      <c r="MQQ33" s="551"/>
      <c r="MQR33" s="551"/>
      <c r="MQS33" s="551"/>
      <c r="MQT33" s="551"/>
      <c r="MQU33" s="551"/>
      <c r="MQV33" s="551"/>
      <c r="MQW33" s="551"/>
      <c r="MQX33" s="551"/>
      <c r="MQY33" s="551"/>
      <c r="MQZ33" s="551"/>
      <c r="MRA33" s="551"/>
      <c r="MRB33" s="551"/>
      <c r="MRC33" s="551"/>
      <c r="MRD33" s="551"/>
      <c r="MRE33" s="551"/>
      <c r="MRF33" s="551"/>
      <c r="MRG33" s="551"/>
      <c r="MRH33" s="551"/>
      <c r="MRI33" s="551"/>
      <c r="MRJ33" s="551"/>
      <c r="MRK33" s="551"/>
      <c r="MRL33" s="551"/>
      <c r="MRM33" s="551"/>
      <c r="MRN33" s="551"/>
      <c r="MRO33" s="551"/>
      <c r="MRP33" s="551"/>
      <c r="MRQ33" s="551"/>
      <c r="MRR33" s="551"/>
      <c r="MRS33" s="551"/>
      <c r="MRT33" s="551"/>
      <c r="MRU33" s="551"/>
      <c r="MRV33" s="551"/>
      <c r="MRW33" s="551"/>
      <c r="MRX33" s="551"/>
      <c r="MRY33" s="551"/>
      <c r="MRZ33" s="551"/>
      <c r="MSA33" s="551"/>
      <c r="MSB33" s="551"/>
      <c r="MSC33" s="551"/>
      <c r="MSD33" s="551"/>
      <c r="MSE33" s="551"/>
      <c r="MSF33" s="551"/>
      <c r="MSG33" s="551"/>
      <c r="MSH33" s="551"/>
      <c r="MSI33" s="551"/>
      <c r="MSJ33" s="551"/>
      <c r="MSK33" s="551"/>
      <c r="MSL33" s="551"/>
      <c r="MSM33" s="551"/>
      <c r="MSN33" s="551"/>
      <c r="MSO33" s="551"/>
      <c r="MSP33" s="551"/>
      <c r="MSQ33" s="551"/>
      <c r="MSR33" s="551"/>
      <c r="MSS33" s="551"/>
      <c r="MST33" s="551"/>
      <c r="MSU33" s="551"/>
      <c r="MSV33" s="551"/>
      <c r="MSW33" s="551"/>
      <c r="MSX33" s="551"/>
      <c r="MSY33" s="551"/>
      <c r="MSZ33" s="551"/>
      <c r="MTA33" s="551"/>
      <c r="MTB33" s="551"/>
      <c r="MTC33" s="551"/>
      <c r="MTD33" s="551"/>
      <c r="MTE33" s="551"/>
      <c r="MTF33" s="551"/>
      <c r="MTG33" s="551"/>
      <c r="MTH33" s="551"/>
      <c r="MTI33" s="551"/>
      <c r="MTJ33" s="551"/>
      <c r="MTK33" s="551"/>
      <c r="MTL33" s="551"/>
      <c r="MTM33" s="551"/>
      <c r="MTN33" s="551"/>
      <c r="MTO33" s="551"/>
      <c r="MTP33" s="551"/>
      <c r="MTQ33" s="551"/>
      <c r="MTR33" s="551"/>
      <c r="MTS33" s="551"/>
      <c r="MTT33" s="551"/>
      <c r="MTU33" s="551"/>
      <c r="MTV33" s="551"/>
      <c r="MTW33" s="551"/>
      <c r="MTX33" s="551"/>
      <c r="MTY33" s="551"/>
      <c r="MTZ33" s="551"/>
      <c r="MUA33" s="551"/>
      <c r="MUB33" s="551"/>
      <c r="MUC33" s="551"/>
      <c r="MUD33" s="551"/>
      <c r="MUE33" s="551"/>
      <c r="MUF33" s="551"/>
      <c r="MUG33" s="551"/>
      <c r="MUH33" s="551"/>
      <c r="MUI33" s="551"/>
      <c r="MUJ33" s="551"/>
      <c r="MUK33" s="551"/>
      <c r="MUL33" s="551"/>
      <c r="MUM33" s="551"/>
      <c r="MUN33" s="551"/>
      <c r="MUO33" s="551"/>
      <c r="MUP33" s="551"/>
      <c r="MUQ33" s="551"/>
      <c r="MUR33" s="551"/>
      <c r="MUS33" s="551"/>
      <c r="MUT33" s="551"/>
      <c r="MUU33" s="551"/>
      <c r="MUV33" s="551"/>
      <c r="MUW33" s="551"/>
      <c r="MUX33" s="551"/>
      <c r="MUY33" s="551"/>
      <c r="MUZ33" s="551"/>
      <c r="MVA33" s="551"/>
      <c r="MVB33" s="551"/>
      <c r="MVC33" s="551"/>
      <c r="MVD33" s="551"/>
      <c r="MVE33" s="551"/>
      <c r="MVF33" s="551"/>
      <c r="MVG33" s="551"/>
      <c r="MVH33" s="551"/>
      <c r="MVI33" s="551"/>
      <c r="MVJ33" s="551"/>
      <c r="MVK33" s="551"/>
      <c r="MVL33" s="551"/>
      <c r="MVM33" s="551"/>
      <c r="MVN33" s="551"/>
      <c r="MVO33" s="551"/>
      <c r="MVP33" s="551"/>
      <c r="MVQ33" s="551"/>
      <c r="MVR33" s="551"/>
      <c r="MVS33" s="551"/>
      <c r="MVT33" s="551"/>
      <c r="MVU33" s="551"/>
      <c r="MVV33" s="551"/>
      <c r="MVW33" s="551"/>
      <c r="MVX33" s="551"/>
      <c r="MVY33" s="551"/>
      <c r="MVZ33" s="551"/>
      <c r="MWA33" s="551"/>
      <c r="MWB33" s="551"/>
      <c r="MWC33" s="551"/>
      <c r="MWD33" s="551"/>
      <c r="MWE33" s="551"/>
      <c r="MWF33" s="551"/>
      <c r="MWG33" s="551"/>
      <c r="MWH33" s="551"/>
      <c r="MWI33" s="551"/>
      <c r="MWJ33" s="551"/>
      <c r="MWK33" s="551"/>
      <c r="MWL33" s="551"/>
      <c r="MWM33" s="551"/>
      <c r="MWN33" s="551"/>
      <c r="MWO33" s="551"/>
      <c r="MWP33" s="551"/>
      <c r="MWQ33" s="551"/>
      <c r="MWR33" s="551"/>
      <c r="MWS33" s="551"/>
      <c r="MWT33" s="551"/>
      <c r="MWU33" s="551"/>
      <c r="MWV33" s="551"/>
      <c r="MWW33" s="551"/>
      <c r="MWX33" s="551"/>
      <c r="MWY33" s="551"/>
      <c r="MWZ33" s="551"/>
      <c r="MXA33" s="551"/>
      <c r="MXB33" s="551"/>
      <c r="MXC33" s="551"/>
      <c r="MXD33" s="551"/>
      <c r="MXE33" s="551"/>
      <c r="MXF33" s="551"/>
      <c r="MXG33" s="551"/>
      <c r="MXH33" s="551"/>
      <c r="MXI33" s="551"/>
      <c r="MXJ33" s="551"/>
      <c r="MXK33" s="551"/>
      <c r="MXL33" s="551"/>
      <c r="MXM33" s="551"/>
      <c r="MXN33" s="551"/>
      <c r="MXO33" s="551"/>
      <c r="MXP33" s="551"/>
      <c r="MXQ33" s="551"/>
      <c r="MXR33" s="551"/>
      <c r="MXS33" s="551"/>
      <c r="MXT33" s="551"/>
      <c r="MXU33" s="551"/>
      <c r="MXV33" s="551"/>
      <c r="MXW33" s="551"/>
      <c r="MXX33" s="551"/>
      <c r="MXY33" s="551"/>
      <c r="MXZ33" s="551"/>
      <c r="MYA33" s="551"/>
      <c r="MYB33" s="551"/>
      <c r="MYC33" s="551"/>
      <c r="MYD33" s="551"/>
      <c r="MYE33" s="551"/>
      <c r="MYF33" s="551"/>
      <c r="MYG33" s="551"/>
      <c r="MYH33" s="551"/>
      <c r="MYI33" s="551"/>
      <c r="MYJ33" s="551"/>
      <c r="MYK33" s="551"/>
      <c r="MYL33" s="551"/>
      <c r="MYM33" s="551"/>
      <c r="MYN33" s="551"/>
      <c r="MYO33" s="551"/>
      <c r="MYP33" s="551"/>
      <c r="MYQ33" s="551"/>
      <c r="MYR33" s="551"/>
      <c r="MYS33" s="551"/>
      <c r="MYT33" s="551"/>
      <c r="MYU33" s="551"/>
      <c r="MYV33" s="551"/>
      <c r="MYW33" s="551"/>
      <c r="MYX33" s="551"/>
      <c r="MYY33" s="551"/>
      <c r="MYZ33" s="551"/>
      <c r="MZA33" s="551"/>
      <c r="MZB33" s="551"/>
      <c r="MZC33" s="551"/>
      <c r="MZD33" s="551"/>
      <c r="MZE33" s="551"/>
      <c r="MZF33" s="551"/>
      <c r="MZG33" s="551"/>
      <c r="MZH33" s="551"/>
      <c r="MZI33" s="551"/>
      <c r="MZJ33" s="551"/>
      <c r="MZK33" s="551"/>
      <c r="MZL33" s="551"/>
      <c r="MZM33" s="551"/>
      <c r="MZN33" s="551"/>
      <c r="MZO33" s="551"/>
      <c r="MZP33" s="551"/>
      <c r="MZQ33" s="551"/>
      <c r="MZR33" s="551"/>
      <c r="MZS33" s="551"/>
      <c r="MZT33" s="551"/>
      <c r="MZU33" s="551"/>
      <c r="MZV33" s="551"/>
      <c r="MZW33" s="551"/>
      <c r="MZX33" s="551"/>
      <c r="MZY33" s="551"/>
      <c r="MZZ33" s="551"/>
      <c r="NAA33" s="551"/>
      <c r="NAB33" s="551"/>
      <c r="NAC33" s="551"/>
      <c r="NAD33" s="551"/>
      <c r="NAE33" s="551"/>
      <c r="NAF33" s="551"/>
      <c r="NAG33" s="551"/>
      <c r="NAH33" s="551"/>
      <c r="NAI33" s="551"/>
      <c r="NAJ33" s="551"/>
      <c r="NAK33" s="551"/>
      <c r="NAL33" s="551"/>
      <c r="NAM33" s="551"/>
      <c r="NAN33" s="551"/>
      <c r="NAO33" s="551"/>
      <c r="NAP33" s="551"/>
      <c r="NAQ33" s="551"/>
      <c r="NAR33" s="551"/>
      <c r="NAS33" s="551"/>
      <c r="NAT33" s="551"/>
      <c r="NAU33" s="551"/>
      <c r="NAV33" s="551"/>
      <c r="NAW33" s="551"/>
      <c r="NAX33" s="551"/>
      <c r="NAY33" s="551"/>
      <c r="NAZ33" s="551"/>
      <c r="NBA33" s="551"/>
      <c r="NBB33" s="551"/>
      <c r="NBC33" s="551"/>
      <c r="NBD33" s="551"/>
      <c r="NBE33" s="551"/>
      <c r="NBF33" s="551"/>
      <c r="NBG33" s="551"/>
      <c r="NBH33" s="551"/>
      <c r="NBI33" s="551"/>
      <c r="NBJ33" s="551"/>
      <c r="NBK33" s="551"/>
      <c r="NBL33" s="551"/>
      <c r="NBM33" s="551"/>
      <c r="NBN33" s="551"/>
      <c r="NBO33" s="551"/>
      <c r="NBP33" s="551"/>
      <c r="NBQ33" s="551"/>
      <c r="NBR33" s="551"/>
      <c r="NBS33" s="551"/>
      <c r="NBT33" s="551"/>
      <c r="NBU33" s="551"/>
      <c r="NBV33" s="551"/>
      <c r="NBW33" s="551"/>
      <c r="NBX33" s="551"/>
      <c r="NBY33" s="551"/>
      <c r="NBZ33" s="551"/>
      <c r="NCA33" s="551"/>
      <c r="NCB33" s="551"/>
      <c r="NCC33" s="551"/>
      <c r="NCD33" s="551"/>
      <c r="NCE33" s="551"/>
      <c r="NCF33" s="551"/>
      <c r="NCG33" s="551"/>
      <c r="NCH33" s="551"/>
      <c r="NCI33" s="551"/>
      <c r="NCJ33" s="551"/>
      <c r="NCK33" s="551"/>
      <c r="NCL33" s="551"/>
      <c r="NCM33" s="551"/>
      <c r="NCN33" s="551"/>
      <c r="NCO33" s="551"/>
      <c r="NCP33" s="551"/>
      <c r="NCQ33" s="551"/>
      <c r="NCR33" s="551"/>
      <c r="NCS33" s="551"/>
      <c r="NCT33" s="551"/>
      <c r="NCU33" s="551"/>
      <c r="NCV33" s="551"/>
      <c r="NCW33" s="551"/>
      <c r="NCX33" s="551"/>
      <c r="NCY33" s="551"/>
      <c r="NCZ33" s="551"/>
      <c r="NDA33" s="551"/>
      <c r="NDB33" s="551"/>
      <c r="NDC33" s="551"/>
      <c r="NDD33" s="551"/>
      <c r="NDE33" s="551"/>
      <c r="NDF33" s="551"/>
      <c r="NDG33" s="551"/>
      <c r="NDH33" s="551"/>
      <c r="NDI33" s="551"/>
      <c r="NDJ33" s="551"/>
      <c r="NDK33" s="551"/>
      <c r="NDL33" s="551"/>
      <c r="NDM33" s="551"/>
      <c r="NDN33" s="551"/>
      <c r="NDO33" s="551"/>
      <c r="NDP33" s="551"/>
      <c r="NDQ33" s="551"/>
      <c r="NDR33" s="551"/>
      <c r="NDS33" s="551"/>
      <c r="NDT33" s="551"/>
      <c r="NDU33" s="551"/>
      <c r="NDV33" s="551"/>
      <c r="NDW33" s="551"/>
      <c r="NDX33" s="551"/>
      <c r="NDY33" s="551"/>
      <c r="NDZ33" s="551"/>
      <c r="NEA33" s="551"/>
      <c r="NEB33" s="551"/>
      <c r="NEC33" s="551"/>
      <c r="NED33" s="551"/>
      <c r="NEE33" s="551"/>
      <c r="NEF33" s="551"/>
      <c r="NEG33" s="551"/>
      <c r="NEH33" s="551"/>
      <c r="NEI33" s="551"/>
      <c r="NEJ33" s="551"/>
      <c r="NEK33" s="551"/>
      <c r="NEL33" s="551"/>
      <c r="NEM33" s="551"/>
      <c r="NEN33" s="551"/>
      <c r="NEO33" s="551"/>
      <c r="NEP33" s="551"/>
      <c r="NEQ33" s="551"/>
      <c r="NER33" s="551"/>
      <c r="NES33" s="551"/>
      <c r="NET33" s="551"/>
      <c r="NEU33" s="551"/>
      <c r="NEV33" s="551"/>
      <c r="NEW33" s="551"/>
      <c r="NEX33" s="551"/>
      <c r="NEY33" s="551"/>
      <c r="NEZ33" s="551"/>
      <c r="NFA33" s="551"/>
      <c r="NFB33" s="551"/>
      <c r="NFC33" s="551"/>
      <c r="NFD33" s="551"/>
      <c r="NFE33" s="551"/>
      <c r="NFF33" s="551"/>
      <c r="NFG33" s="551"/>
      <c r="NFH33" s="551"/>
      <c r="NFI33" s="551"/>
      <c r="NFJ33" s="551"/>
      <c r="NFK33" s="551"/>
      <c r="NFL33" s="551"/>
      <c r="NFM33" s="551"/>
      <c r="NFN33" s="551"/>
      <c r="NFO33" s="551"/>
      <c r="NFP33" s="551"/>
      <c r="NFQ33" s="551"/>
      <c r="NFR33" s="551"/>
      <c r="NFS33" s="551"/>
      <c r="NFT33" s="551"/>
      <c r="NFU33" s="551"/>
      <c r="NFV33" s="551"/>
      <c r="NFW33" s="551"/>
      <c r="NFX33" s="551"/>
      <c r="NFY33" s="551"/>
      <c r="NFZ33" s="551"/>
      <c r="NGA33" s="551"/>
      <c r="NGB33" s="551"/>
      <c r="NGC33" s="551"/>
      <c r="NGD33" s="551"/>
      <c r="NGE33" s="551"/>
      <c r="NGF33" s="551"/>
      <c r="NGG33" s="551"/>
      <c r="NGH33" s="551"/>
      <c r="NGI33" s="551"/>
      <c r="NGJ33" s="551"/>
      <c r="NGK33" s="551"/>
      <c r="NGL33" s="551"/>
      <c r="NGM33" s="551"/>
      <c r="NGN33" s="551"/>
      <c r="NGO33" s="551"/>
      <c r="NGP33" s="551"/>
      <c r="NGQ33" s="551"/>
      <c r="NGR33" s="551"/>
      <c r="NGS33" s="551"/>
      <c r="NGT33" s="551"/>
      <c r="NGU33" s="551"/>
      <c r="NGV33" s="551"/>
      <c r="NGW33" s="551"/>
      <c r="NGX33" s="551"/>
      <c r="NGY33" s="551"/>
      <c r="NGZ33" s="551"/>
      <c r="NHA33" s="551"/>
      <c r="NHB33" s="551"/>
      <c r="NHC33" s="551"/>
      <c r="NHD33" s="551"/>
      <c r="NHE33" s="551"/>
      <c r="NHF33" s="551"/>
      <c r="NHG33" s="551"/>
      <c r="NHH33" s="551"/>
      <c r="NHI33" s="551"/>
      <c r="NHJ33" s="551"/>
      <c r="NHK33" s="551"/>
      <c r="NHL33" s="551"/>
      <c r="NHM33" s="551"/>
      <c r="NHN33" s="551"/>
      <c r="NHO33" s="551"/>
      <c r="NHP33" s="551"/>
      <c r="NHQ33" s="551"/>
      <c r="NHR33" s="551"/>
      <c r="NHS33" s="551"/>
      <c r="NHT33" s="551"/>
      <c r="NHU33" s="551"/>
      <c r="NHV33" s="551"/>
      <c r="NHW33" s="551"/>
      <c r="NHX33" s="551"/>
      <c r="NHY33" s="551"/>
      <c r="NHZ33" s="551"/>
      <c r="NIA33" s="551"/>
      <c r="NIB33" s="551"/>
      <c r="NIC33" s="551"/>
      <c r="NID33" s="551"/>
      <c r="NIE33" s="551"/>
      <c r="NIF33" s="551"/>
      <c r="NIG33" s="551"/>
      <c r="NIH33" s="551"/>
      <c r="NII33" s="551"/>
      <c r="NIJ33" s="551"/>
      <c r="NIK33" s="551"/>
      <c r="NIL33" s="551"/>
      <c r="NIM33" s="551"/>
      <c r="NIN33" s="551"/>
      <c r="NIO33" s="551"/>
      <c r="NIP33" s="551"/>
      <c r="NIQ33" s="551"/>
      <c r="NIR33" s="551"/>
      <c r="NIS33" s="551"/>
      <c r="NIT33" s="551"/>
      <c r="NIU33" s="551"/>
      <c r="NIV33" s="551"/>
      <c r="NIW33" s="551"/>
      <c r="NIX33" s="551"/>
      <c r="NIY33" s="551"/>
      <c r="NIZ33" s="551"/>
      <c r="NJA33" s="551"/>
      <c r="NJB33" s="551"/>
      <c r="NJC33" s="551"/>
      <c r="NJD33" s="551"/>
      <c r="NJE33" s="551"/>
      <c r="NJF33" s="551"/>
      <c r="NJG33" s="551"/>
      <c r="NJH33" s="551"/>
      <c r="NJI33" s="551"/>
      <c r="NJJ33" s="551"/>
      <c r="NJK33" s="551"/>
      <c r="NJL33" s="551"/>
      <c r="NJM33" s="551"/>
      <c r="NJN33" s="551"/>
      <c r="NJO33" s="551"/>
      <c r="NJP33" s="551"/>
      <c r="NJQ33" s="551"/>
      <c r="NJR33" s="551"/>
      <c r="NJS33" s="551"/>
      <c r="NJT33" s="551"/>
      <c r="NJU33" s="551"/>
      <c r="NJV33" s="551"/>
      <c r="NJW33" s="551"/>
      <c r="NJX33" s="551"/>
      <c r="NJY33" s="551"/>
      <c r="NJZ33" s="551"/>
      <c r="NKA33" s="551"/>
      <c r="NKB33" s="551"/>
      <c r="NKC33" s="551"/>
      <c r="NKD33" s="551"/>
      <c r="NKE33" s="551"/>
      <c r="NKF33" s="551"/>
      <c r="NKG33" s="551"/>
      <c r="NKH33" s="551"/>
      <c r="NKI33" s="551"/>
      <c r="NKJ33" s="551"/>
      <c r="NKK33" s="551"/>
      <c r="NKL33" s="551"/>
      <c r="NKM33" s="551"/>
      <c r="NKN33" s="551"/>
      <c r="NKO33" s="551"/>
      <c r="NKP33" s="551"/>
      <c r="NKQ33" s="551"/>
      <c r="NKR33" s="551"/>
      <c r="NKS33" s="551"/>
      <c r="NKT33" s="551"/>
      <c r="NKU33" s="551"/>
      <c r="NKV33" s="551"/>
      <c r="NKW33" s="551"/>
      <c r="NKX33" s="551"/>
      <c r="NKY33" s="551"/>
      <c r="NKZ33" s="551"/>
      <c r="NLA33" s="551"/>
      <c r="NLB33" s="551"/>
      <c r="NLC33" s="551"/>
      <c r="NLD33" s="551"/>
      <c r="NLE33" s="551"/>
      <c r="NLF33" s="551"/>
      <c r="NLG33" s="551"/>
      <c r="NLH33" s="551"/>
      <c r="NLI33" s="551"/>
      <c r="NLJ33" s="551"/>
      <c r="NLK33" s="551"/>
      <c r="NLL33" s="551"/>
      <c r="NLM33" s="551"/>
      <c r="NLN33" s="551"/>
      <c r="NLO33" s="551"/>
      <c r="NLP33" s="551"/>
      <c r="NLQ33" s="551"/>
      <c r="NLR33" s="551"/>
      <c r="NLS33" s="551"/>
      <c r="NLT33" s="551"/>
      <c r="NLU33" s="551"/>
      <c r="NLV33" s="551"/>
      <c r="NLW33" s="551"/>
      <c r="NLX33" s="551"/>
      <c r="NLY33" s="551"/>
      <c r="NLZ33" s="551"/>
      <c r="NMA33" s="551"/>
      <c r="NMB33" s="551"/>
      <c r="NMC33" s="551"/>
      <c r="NMD33" s="551"/>
      <c r="NME33" s="551"/>
      <c r="NMF33" s="551"/>
      <c r="NMG33" s="551"/>
      <c r="NMH33" s="551"/>
      <c r="NMI33" s="551"/>
      <c r="NMJ33" s="551"/>
      <c r="NMK33" s="551"/>
      <c r="NML33" s="551"/>
      <c r="NMM33" s="551"/>
      <c r="NMN33" s="551"/>
      <c r="NMO33" s="551"/>
      <c r="NMP33" s="551"/>
      <c r="NMQ33" s="551"/>
      <c r="NMR33" s="551"/>
      <c r="NMS33" s="551"/>
      <c r="NMT33" s="551"/>
      <c r="NMU33" s="551"/>
      <c r="NMV33" s="551"/>
      <c r="NMW33" s="551"/>
      <c r="NMX33" s="551"/>
      <c r="NMY33" s="551"/>
      <c r="NMZ33" s="551"/>
      <c r="NNA33" s="551"/>
      <c r="NNB33" s="551"/>
      <c r="NNC33" s="551"/>
      <c r="NND33" s="551"/>
      <c r="NNE33" s="551"/>
      <c r="NNF33" s="551"/>
      <c r="NNG33" s="551"/>
      <c r="NNH33" s="551"/>
      <c r="NNI33" s="551"/>
      <c r="NNJ33" s="551"/>
      <c r="NNK33" s="551"/>
      <c r="NNL33" s="551"/>
      <c r="NNM33" s="551"/>
      <c r="NNN33" s="551"/>
      <c r="NNO33" s="551"/>
      <c r="NNP33" s="551"/>
      <c r="NNQ33" s="551"/>
      <c r="NNR33" s="551"/>
      <c r="NNS33" s="551"/>
      <c r="NNT33" s="551"/>
      <c r="NNU33" s="551"/>
      <c r="NNV33" s="551"/>
      <c r="NNW33" s="551"/>
      <c r="NNX33" s="551"/>
      <c r="NNY33" s="551"/>
      <c r="NNZ33" s="551"/>
      <c r="NOA33" s="551"/>
      <c r="NOB33" s="551"/>
      <c r="NOC33" s="551"/>
      <c r="NOD33" s="551"/>
      <c r="NOE33" s="551"/>
      <c r="NOF33" s="551"/>
      <c r="NOG33" s="551"/>
      <c r="NOH33" s="551"/>
      <c r="NOI33" s="551"/>
      <c r="NOJ33" s="551"/>
      <c r="NOK33" s="551"/>
      <c r="NOL33" s="551"/>
      <c r="NOM33" s="551"/>
      <c r="NON33" s="551"/>
      <c r="NOO33" s="551"/>
      <c r="NOP33" s="551"/>
      <c r="NOQ33" s="551"/>
      <c r="NOR33" s="551"/>
      <c r="NOS33" s="551"/>
      <c r="NOT33" s="551"/>
      <c r="NOU33" s="551"/>
      <c r="NOV33" s="551"/>
      <c r="NOW33" s="551"/>
      <c r="NOX33" s="551"/>
      <c r="NOY33" s="551"/>
      <c r="NOZ33" s="551"/>
      <c r="NPA33" s="551"/>
      <c r="NPB33" s="551"/>
      <c r="NPC33" s="551"/>
      <c r="NPD33" s="551"/>
      <c r="NPE33" s="551"/>
      <c r="NPF33" s="551"/>
      <c r="NPG33" s="551"/>
      <c r="NPH33" s="551"/>
      <c r="NPI33" s="551"/>
      <c r="NPJ33" s="551"/>
      <c r="NPK33" s="551"/>
      <c r="NPL33" s="551"/>
      <c r="NPM33" s="551"/>
      <c r="NPN33" s="551"/>
      <c r="NPO33" s="551"/>
      <c r="NPP33" s="551"/>
      <c r="NPQ33" s="551"/>
      <c r="NPR33" s="551"/>
      <c r="NPS33" s="551"/>
      <c r="NPT33" s="551"/>
      <c r="NPU33" s="551"/>
      <c r="NPV33" s="551"/>
      <c r="NPW33" s="551"/>
      <c r="NPX33" s="551"/>
      <c r="NPY33" s="551"/>
      <c r="NPZ33" s="551"/>
      <c r="NQA33" s="551"/>
      <c r="NQB33" s="551"/>
      <c r="NQC33" s="551"/>
      <c r="NQD33" s="551"/>
      <c r="NQE33" s="551"/>
      <c r="NQF33" s="551"/>
      <c r="NQG33" s="551"/>
      <c r="NQH33" s="551"/>
      <c r="NQI33" s="551"/>
      <c r="NQJ33" s="551"/>
      <c r="NQK33" s="551"/>
      <c r="NQL33" s="551"/>
      <c r="NQM33" s="551"/>
      <c r="NQN33" s="551"/>
      <c r="NQO33" s="551"/>
      <c r="NQP33" s="551"/>
      <c r="NQQ33" s="551"/>
      <c r="NQR33" s="551"/>
      <c r="NQS33" s="551"/>
      <c r="NQT33" s="551"/>
      <c r="NQU33" s="551"/>
      <c r="NQV33" s="551"/>
      <c r="NQW33" s="551"/>
      <c r="NQX33" s="551"/>
      <c r="NQY33" s="551"/>
      <c r="NQZ33" s="551"/>
      <c r="NRA33" s="551"/>
      <c r="NRB33" s="551"/>
      <c r="NRC33" s="551"/>
      <c r="NRD33" s="551"/>
      <c r="NRE33" s="551"/>
      <c r="NRF33" s="551"/>
      <c r="NRG33" s="551"/>
      <c r="NRH33" s="551"/>
      <c r="NRI33" s="551"/>
      <c r="NRJ33" s="551"/>
      <c r="NRK33" s="551"/>
      <c r="NRL33" s="551"/>
      <c r="NRM33" s="551"/>
      <c r="NRN33" s="551"/>
      <c r="NRO33" s="551"/>
      <c r="NRP33" s="551"/>
      <c r="NRQ33" s="551"/>
      <c r="NRR33" s="551"/>
      <c r="NRS33" s="551"/>
      <c r="NRT33" s="551"/>
      <c r="NRU33" s="551"/>
      <c r="NRV33" s="551"/>
      <c r="NRW33" s="551"/>
      <c r="NRX33" s="551"/>
      <c r="NRY33" s="551"/>
      <c r="NRZ33" s="551"/>
      <c r="NSA33" s="551"/>
      <c r="NSB33" s="551"/>
      <c r="NSC33" s="551"/>
      <c r="NSD33" s="551"/>
      <c r="NSE33" s="551"/>
      <c r="NSF33" s="551"/>
      <c r="NSG33" s="551"/>
      <c r="NSH33" s="551"/>
      <c r="NSI33" s="551"/>
      <c r="NSJ33" s="551"/>
      <c r="NSK33" s="551"/>
      <c r="NSL33" s="551"/>
      <c r="NSM33" s="551"/>
      <c r="NSN33" s="551"/>
      <c r="NSO33" s="551"/>
      <c r="NSP33" s="551"/>
      <c r="NSQ33" s="551"/>
      <c r="NSR33" s="551"/>
      <c r="NSS33" s="551"/>
      <c r="NST33" s="551"/>
      <c r="NSU33" s="551"/>
      <c r="NSV33" s="551"/>
      <c r="NSW33" s="551"/>
      <c r="NSX33" s="551"/>
      <c r="NSY33" s="551"/>
      <c r="NSZ33" s="551"/>
      <c r="NTA33" s="551"/>
      <c r="NTB33" s="551"/>
      <c r="NTC33" s="551"/>
      <c r="NTD33" s="551"/>
      <c r="NTE33" s="551"/>
      <c r="NTF33" s="551"/>
      <c r="NTG33" s="551"/>
      <c r="NTH33" s="551"/>
      <c r="NTI33" s="551"/>
      <c r="NTJ33" s="551"/>
      <c r="NTK33" s="551"/>
      <c r="NTL33" s="551"/>
      <c r="NTM33" s="551"/>
      <c r="NTN33" s="551"/>
      <c r="NTO33" s="551"/>
      <c r="NTP33" s="551"/>
      <c r="NTQ33" s="551"/>
      <c r="NTR33" s="551"/>
      <c r="NTS33" s="551"/>
      <c r="NTT33" s="551"/>
      <c r="NTU33" s="551"/>
      <c r="NTV33" s="551"/>
      <c r="NTW33" s="551"/>
      <c r="NTX33" s="551"/>
      <c r="NTY33" s="551"/>
      <c r="NTZ33" s="551"/>
      <c r="NUA33" s="551"/>
      <c r="NUB33" s="551"/>
      <c r="NUC33" s="551"/>
      <c r="NUD33" s="551"/>
      <c r="NUE33" s="551"/>
      <c r="NUF33" s="551"/>
      <c r="NUG33" s="551"/>
      <c r="NUH33" s="551"/>
      <c r="NUI33" s="551"/>
      <c r="NUJ33" s="551"/>
      <c r="NUK33" s="551"/>
      <c r="NUL33" s="551"/>
      <c r="NUM33" s="551"/>
      <c r="NUN33" s="551"/>
      <c r="NUO33" s="551"/>
      <c r="NUP33" s="551"/>
      <c r="NUQ33" s="551"/>
      <c r="NUR33" s="551"/>
      <c r="NUS33" s="551"/>
      <c r="NUT33" s="551"/>
      <c r="NUU33" s="551"/>
      <c r="NUV33" s="551"/>
      <c r="NUW33" s="551"/>
      <c r="NUX33" s="551"/>
      <c r="NUY33" s="551"/>
      <c r="NUZ33" s="551"/>
      <c r="NVA33" s="551"/>
      <c r="NVB33" s="551"/>
      <c r="NVC33" s="551"/>
      <c r="NVD33" s="551"/>
      <c r="NVE33" s="551"/>
      <c r="NVF33" s="551"/>
      <c r="NVG33" s="551"/>
      <c r="NVH33" s="551"/>
      <c r="NVI33" s="551"/>
      <c r="NVJ33" s="551"/>
      <c r="NVK33" s="551"/>
      <c r="NVL33" s="551"/>
      <c r="NVM33" s="551"/>
      <c r="NVN33" s="551"/>
      <c r="NVO33" s="551"/>
      <c r="NVP33" s="551"/>
      <c r="NVQ33" s="551"/>
      <c r="NVR33" s="551"/>
      <c r="NVS33" s="551"/>
      <c r="NVT33" s="551"/>
      <c r="NVU33" s="551"/>
      <c r="NVV33" s="551"/>
      <c r="NVW33" s="551"/>
      <c r="NVX33" s="551"/>
      <c r="NVY33" s="551"/>
      <c r="NVZ33" s="551"/>
      <c r="NWA33" s="551"/>
      <c r="NWB33" s="551"/>
      <c r="NWC33" s="551"/>
      <c r="NWD33" s="551"/>
      <c r="NWE33" s="551"/>
      <c r="NWF33" s="551"/>
      <c r="NWG33" s="551"/>
      <c r="NWH33" s="551"/>
      <c r="NWI33" s="551"/>
      <c r="NWJ33" s="551"/>
      <c r="NWK33" s="551"/>
      <c r="NWL33" s="551"/>
      <c r="NWM33" s="551"/>
      <c r="NWN33" s="551"/>
      <c r="NWO33" s="551"/>
      <c r="NWP33" s="551"/>
      <c r="NWQ33" s="551"/>
      <c r="NWR33" s="551"/>
      <c r="NWS33" s="551"/>
      <c r="NWT33" s="551"/>
      <c r="NWU33" s="551"/>
      <c r="NWV33" s="551"/>
      <c r="NWW33" s="551"/>
      <c r="NWX33" s="551"/>
      <c r="NWY33" s="551"/>
      <c r="NWZ33" s="551"/>
      <c r="NXA33" s="551"/>
      <c r="NXB33" s="551"/>
      <c r="NXC33" s="551"/>
      <c r="NXD33" s="551"/>
      <c r="NXE33" s="551"/>
      <c r="NXF33" s="551"/>
      <c r="NXG33" s="551"/>
      <c r="NXH33" s="551"/>
      <c r="NXI33" s="551"/>
      <c r="NXJ33" s="551"/>
      <c r="NXK33" s="551"/>
      <c r="NXL33" s="551"/>
      <c r="NXM33" s="551"/>
      <c r="NXN33" s="551"/>
      <c r="NXO33" s="551"/>
      <c r="NXP33" s="551"/>
      <c r="NXQ33" s="551"/>
      <c r="NXR33" s="551"/>
      <c r="NXS33" s="551"/>
      <c r="NXT33" s="551"/>
      <c r="NXU33" s="551"/>
      <c r="NXV33" s="551"/>
      <c r="NXW33" s="551"/>
      <c r="NXX33" s="551"/>
      <c r="NXY33" s="551"/>
      <c r="NXZ33" s="551"/>
      <c r="NYA33" s="551"/>
      <c r="NYB33" s="551"/>
      <c r="NYC33" s="551"/>
      <c r="NYD33" s="551"/>
      <c r="NYE33" s="551"/>
      <c r="NYF33" s="551"/>
      <c r="NYG33" s="551"/>
      <c r="NYH33" s="551"/>
      <c r="NYI33" s="551"/>
      <c r="NYJ33" s="551"/>
      <c r="NYK33" s="551"/>
      <c r="NYL33" s="551"/>
      <c r="NYM33" s="551"/>
      <c r="NYN33" s="551"/>
      <c r="NYO33" s="551"/>
      <c r="NYP33" s="551"/>
      <c r="NYQ33" s="551"/>
      <c r="NYR33" s="551"/>
      <c r="NYS33" s="551"/>
      <c r="NYT33" s="551"/>
      <c r="NYU33" s="551"/>
      <c r="NYV33" s="551"/>
      <c r="NYW33" s="551"/>
      <c r="NYX33" s="551"/>
      <c r="NYY33" s="551"/>
      <c r="NYZ33" s="551"/>
      <c r="NZA33" s="551"/>
      <c r="NZB33" s="551"/>
      <c r="NZC33" s="551"/>
      <c r="NZD33" s="551"/>
      <c r="NZE33" s="551"/>
      <c r="NZF33" s="551"/>
      <c r="NZG33" s="551"/>
      <c r="NZH33" s="551"/>
      <c r="NZI33" s="551"/>
      <c r="NZJ33" s="551"/>
      <c r="NZK33" s="551"/>
      <c r="NZL33" s="551"/>
      <c r="NZM33" s="551"/>
      <c r="NZN33" s="551"/>
      <c r="NZO33" s="551"/>
      <c r="NZP33" s="551"/>
      <c r="NZQ33" s="551"/>
      <c r="NZR33" s="551"/>
      <c r="NZS33" s="551"/>
      <c r="NZT33" s="551"/>
      <c r="NZU33" s="551"/>
      <c r="NZV33" s="551"/>
      <c r="NZW33" s="551"/>
      <c r="NZX33" s="551"/>
      <c r="NZY33" s="551"/>
      <c r="NZZ33" s="551"/>
      <c r="OAA33" s="551"/>
      <c r="OAB33" s="551"/>
      <c r="OAC33" s="551"/>
      <c r="OAD33" s="551"/>
      <c r="OAE33" s="551"/>
      <c r="OAF33" s="551"/>
      <c r="OAG33" s="551"/>
      <c r="OAH33" s="551"/>
      <c r="OAI33" s="551"/>
      <c r="OAJ33" s="551"/>
      <c r="OAK33" s="551"/>
      <c r="OAL33" s="551"/>
      <c r="OAM33" s="551"/>
      <c r="OAN33" s="551"/>
      <c r="OAO33" s="551"/>
      <c r="OAP33" s="551"/>
      <c r="OAQ33" s="551"/>
      <c r="OAR33" s="551"/>
      <c r="OAS33" s="551"/>
      <c r="OAT33" s="551"/>
      <c r="OAU33" s="551"/>
      <c r="OAV33" s="551"/>
      <c r="OAW33" s="551"/>
      <c r="OAX33" s="551"/>
      <c r="OAY33" s="551"/>
      <c r="OAZ33" s="551"/>
      <c r="OBA33" s="551"/>
      <c r="OBB33" s="551"/>
      <c r="OBC33" s="551"/>
      <c r="OBD33" s="551"/>
      <c r="OBE33" s="551"/>
      <c r="OBF33" s="551"/>
      <c r="OBG33" s="551"/>
      <c r="OBH33" s="551"/>
      <c r="OBI33" s="551"/>
      <c r="OBJ33" s="551"/>
      <c r="OBK33" s="551"/>
      <c r="OBL33" s="551"/>
      <c r="OBM33" s="551"/>
      <c r="OBN33" s="551"/>
      <c r="OBO33" s="551"/>
      <c r="OBP33" s="551"/>
      <c r="OBQ33" s="551"/>
      <c r="OBR33" s="551"/>
      <c r="OBS33" s="551"/>
      <c r="OBT33" s="551"/>
      <c r="OBU33" s="551"/>
      <c r="OBV33" s="551"/>
      <c r="OBW33" s="551"/>
      <c r="OBX33" s="551"/>
      <c r="OBY33" s="551"/>
      <c r="OBZ33" s="551"/>
      <c r="OCA33" s="551"/>
      <c r="OCB33" s="551"/>
      <c r="OCC33" s="551"/>
      <c r="OCD33" s="551"/>
      <c r="OCE33" s="551"/>
      <c r="OCF33" s="551"/>
      <c r="OCG33" s="551"/>
      <c r="OCH33" s="551"/>
      <c r="OCI33" s="551"/>
      <c r="OCJ33" s="551"/>
      <c r="OCK33" s="551"/>
      <c r="OCL33" s="551"/>
      <c r="OCM33" s="551"/>
      <c r="OCN33" s="551"/>
      <c r="OCO33" s="551"/>
      <c r="OCP33" s="551"/>
      <c r="OCQ33" s="551"/>
      <c r="OCR33" s="551"/>
      <c r="OCS33" s="551"/>
      <c r="OCT33" s="551"/>
      <c r="OCU33" s="551"/>
      <c r="OCV33" s="551"/>
      <c r="OCW33" s="551"/>
      <c r="OCX33" s="551"/>
      <c r="OCY33" s="551"/>
      <c r="OCZ33" s="551"/>
      <c r="ODA33" s="551"/>
      <c r="ODB33" s="551"/>
      <c r="ODC33" s="551"/>
      <c r="ODD33" s="551"/>
      <c r="ODE33" s="551"/>
      <c r="ODF33" s="551"/>
      <c r="ODG33" s="551"/>
      <c r="ODH33" s="551"/>
      <c r="ODI33" s="551"/>
      <c r="ODJ33" s="551"/>
      <c r="ODK33" s="551"/>
      <c r="ODL33" s="551"/>
      <c r="ODM33" s="551"/>
      <c r="ODN33" s="551"/>
      <c r="ODO33" s="551"/>
      <c r="ODP33" s="551"/>
      <c r="ODQ33" s="551"/>
      <c r="ODR33" s="551"/>
      <c r="ODS33" s="551"/>
      <c r="ODT33" s="551"/>
      <c r="ODU33" s="551"/>
      <c r="ODV33" s="551"/>
      <c r="ODW33" s="551"/>
      <c r="ODX33" s="551"/>
      <c r="ODY33" s="551"/>
      <c r="ODZ33" s="551"/>
      <c r="OEA33" s="551"/>
      <c r="OEB33" s="551"/>
      <c r="OEC33" s="551"/>
      <c r="OED33" s="551"/>
      <c r="OEE33" s="551"/>
      <c r="OEF33" s="551"/>
      <c r="OEG33" s="551"/>
      <c r="OEH33" s="551"/>
      <c r="OEI33" s="551"/>
      <c r="OEJ33" s="551"/>
      <c r="OEK33" s="551"/>
      <c r="OEL33" s="551"/>
      <c r="OEM33" s="551"/>
      <c r="OEN33" s="551"/>
      <c r="OEO33" s="551"/>
      <c r="OEP33" s="551"/>
      <c r="OEQ33" s="551"/>
      <c r="OER33" s="551"/>
      <c r="OES33" s="551"/>
      <c r="OET33" s="551"/>
      <c r="OEU33" s="551"/>
      <c r="OEV33" s="551"/>
      <c r="OEW33" s="551"/>
      <c r="OEX33" s="551"/>
      <c r="OEY33" s="551"/>
      <c r="OEZ33" s="551"/>
      <c r="OFA33" s="551"/>
      <c r="OFB33" s="551"/>
      <c r="OFC33" s="551"/>
      <c r="OFD33" s="551"/>
      <c r="OFE33" s="551"/>
      <c r="OFF33" s="551"/>
      <c r="OFG33" s="551"/>
      <c r="OFH33" s="551"/>
      <c r="OFI33" s="551"/>
      <c r="OFJ33" s="551"/>
      <c r="OFK33" s="551"/>
      <c r="OFL33" s="551"/>
      <c r="OFM33" s="551"/>
      <c r="OFN33" s="551"/>
      <c r="OFO33" s="551"/>
      <c r="OFP33" s="551"/>
      <c r="OFQ33" s="551"/>
      <c r="OFR33" s="551"/>
      <c r="OFS33" s="551"/>
      <c r="OFT33" s="551"/>
      <c r="OFU33" s="551"/>
      <c r="OFV33" s="551"/>
      <c r="OFW33" s="551"/>
      <c r="OFX33" s="551"/>
      <c r="OFY33" s="551"/>
      <c r="OFZ33" s="551"/>
      <c r="OGA33" s="551"/>
      <c r="OGB33" s="551"/>
      <c r="OGC33" s="551"/>
      <c r="OGD33" s="551"/>
      <c r="OGE33" s="551"/>
      <c r="OGF33" s="551"/>
      <c r="OGG33" s="551"/>
      <c r="OGH33" s="551"/>
      <c r="OGI33" s="551"/>
      <c r="OGJ33" s="551"/>
      <c r="OGK33" s="551"/>
      <c r="OGL33" s="551"/>
      <c r="OGM33" s="551"/>
      <c r="OGN33" s="551"/>
      <c r="OGO33" s="551"/>
      <c r="OGP33" s="551"/>
      <c r="OGQ33" s="551"/>
      <c r="OGR33" s="551"/>
      <c r="OGS33" s="551"/>
      <c r="OGT33" s="551"/>
      <c r="OGU33" s="551"/>
      <c r="OGV33" s="551"/>
      <c r="OGW33" s="551"/>
      <c r="OGX33" s="551"/>
      <c r="OGY33" s="551"/>
      <c r="OGZ33" s="551"/>
      <c r="OHA33" s="551"/>
      <c r="OHB33" s="551"/>
      <c r="OHC33" s="551"/>
      <c r="OHD33" s="551"/>
      <c r="OHE33" s="551"/>
      <c r="OHF33" s="551"/>
      <c r="OHG33" s="551"/>
      <c r="OHH33" s="551"/>
      <c r="OHI33" s="551"/>
      <c r="OHJ33" s="551"/>
      <c r="OHK33" s="551"/>
      <c r="OHL33" s="551"/>
      <c r="OHM33" s="551"/>
      <c r="OHN33" s="551"/>
      <c r="OHO33" s="551"/>
      <c r="OHP33" s="551"/>
      <c r="OHQ33" s="551"/>
      <c r="OHR33" s="551"/>
      <c r="OHS33" s="551"/>
      <c r="OHT33" s="551"/>
      <c r="OHU33" s="551"/>
      <c r="OHV33" s="551"/>
      <c r="OHW33" s="551"/>
      <c r="OHX33" s="551"/>
      <c r="OHY33" s="551"/>
      <c r="OHZ33" s="551"/>
      <c r="OIA33" s="551"/>
      <c r="OIB33" s="551"/>
      <c r="OIC33" s="551"/>
      <c r="OID33" s="551"/>
      <c r="OIE33" s="551"/>
      <c r="OIF33" s="551"/>
      <c r="OIG33" s="551"/>
      <c r="OIH33" s="551"/>
      <c r="OII33" s="551"/>
      <c r="OIJ33" s="551"/>
      <c r="OIK33" s="551"/>
      <c r="OIL33" s="551"/>
      <c r="OIM33" s="551"/>
      <c r="OIN33" s="551"/>
      <c r="OIO33" s="551"/>
      <c r="OIP33" s="551"/>
      <c r="OIQ33" s="551"/>
      <c r="OIR33" s="551"/>
      <c r="OIS33" s="551"/>
      <c r="OIT33" s="551"/>
      <c r="OIU33" s="551"/>
      <c r="OIV33" s="551"/>
      <c r="OIW33" s="551"/>
      <c r="OIX33" s="551"/>
      <c r="OIY33" s="551"/>
      <c r="OIZ33" s="551"/>
      <c r="OJA33" s="551"/>
      <c r="OJB33" s="551"/>
      <c r="OJC33" s="551"/>
      <c r="OJD33" s="551"/>
      <c r="OJE33" s="551"/>
      <c r="OJF33" s="551"/>
      <c r="OJG33" s="551"/>
      <c r="OJH33" s="551"/>
      <c r="OJI33" s="551"/>
      <c r="OJJ33" s="551"/>
      <c r="OJK33" s="551"/>
      <c r="OJL33" s="551"/>
      <c r="OJM33" s="551"/>
      <c r="OJN33" s="551"/>
      <c r="OJO33" s="551"/>
      <c r="OJP33" s="551"/>
      <c r="OJQ33" s="551"/>
      <c r="OJR33" s="551"/>
      <c r="OJS33" s="551"/>
      <c r="OJT33" s="551"/>
      <c r="OJU33" s="551"/>
      <c r="OJV33" s="551"/>
      <c r="OJW33" s="551"/>
      <c r="OJX33" s="551"/>
      <c r="OJY33" s="551"/>
      <c r="OJZ33" s="551"/>
      <c r="OKA33" s="551"/>
      <c r="OKB33" s="551"/>
      <c r="OKC33" s="551"/>
      <c r="OKD33" s="551"/>
      <c r="OKE33" s="551"/>
      <c r="OKF33" s="551"/>
      <c r="OKG33" s="551"/>
      <c r="OKH33" s="551"/>
      <c r="OKI33" s="551"/>
      <c r="OKJ33" s="551"/>
      <c r="OKK33" s="551"/>
      <c r="OKL33" s="551"/>
      <c r="OKM33" s="551"/>
      <c r="OKN33" s="551"/>
      <c r="OKO33" s="551"/>
      <c r="OKP33" s="551"/>
      <c r="OKQ33" s="551"/>
      <c r="OKR33" s="551"/>
      <c r="OKS33" s="551"/>
      <c r="OKT33" s="551"/>
      <c r="OKU33" s="551"/>
      <c r="OKV33" s="551"/>
      <c r="OKW33" s="551"/>
      <c r="OKX33" s="551"/>
      <c r="OKY33" s="551"/>
      <c r="OKZ33" s="551"/>
      <c r="OLA33" s="551"/>
      <c r="OLB33" s="551"/>
      <c r="OLC33" s="551"/>
      <c r="OLD33" s="551"/>
      <c r="OLE33" s="551"/>
      <c r="OLF33" s="551"/>
      <c r="OLG33" s="551"/>
      <c r="OLH33" s="551"/>
      <c r="OLI33" s="551"/>
      <c r="OLJ33" s="551"/>
      <c r="OLK33" s="551"/>
      <c r="OLL33" s="551"/>
      <c r="OLM33" s="551"/>
      <c r="OLN33" s="551"/>
      <c r="OLO33" s="551"/>
      <c r="OLP33" s="551"/>
      <c r="OLQ33" s="551"/>
      <c r="OLR33" s="551"/>
      <c r="OLS33" s="551"/>
      <c r="OLT33" s="551"/>
      <c r="OLU33" s="551"/>
      <c r="OLV33" s="551"/>
      <c r="OLW33" s="551"/>
      <c r="OLX33" s="551"/>
      <c r="OLY33" s="551"/>
      <c r="OLZ33" s="551"/>
      <c r="OMA33" s="551"/>
      <c r="OMB33" s="551"/>
      <c r="OMC33" s="551"/>
      <c r="OMD33" s="551"/>
      <c r="OME33" s="551"/>
      <c r="OMF33" s="551"/>
      <c r="OMG33" s="551"/>
      <c r="OMH33" s="551"/>
      <c r="OMI33" s="551"/>
      <c r="OMJ33" s="551"/>
      <c r="OMK33" s="551"/>
      <c r="OML33" s="551"/>
      <c r="OMM33" s="551"/>
      <c r="OMN33" s="551"/>
      <c r="OMO33" s="551"/>
      <c r="OMP33" s="551"/>
      <c r="OMQ33" s="551"/>
      <c r="OMR33" s="551"/>
      <c r="OMS33" s="551"/>
      <c r="OMT33" s="551"/>
      <c r="OMU33" s="551"/>
      <c r="OMV33" s="551"/>
      <c r="OMW33" s="551"/>
      <c r="OMX33" s="551"/>
      <c r="OMY33" s="551"/>
      <c r="OMZ33" s="551"/>
      <c r="ONA33" s="551"/>
      <c r="ONB33" s="551"/>
      <c r="ONC33" s="551"/>
      <c r="OND33" s="551"/>
      <c r="ONE33" s="551"/>
      <c r="ONF33" s="551"/>
      <c r="ONG33" s="551"/>
      <c r="ONH33" s="551"/>
      <c r="ONI33" s="551"/>
      <c r="ONJ33" s="551"/>
      <c r="ONK33" s="551"/>
      <c r="ONL33" s="551"/>
      <c r="ONM33" s="551"/>
      <c r="ONN33" s="551"/>
      <c r="ONO33" s="551"/>
      <c r="ONP33" s="551"/>
      <c r="ONQ33" s="551"/>
      <c r="ONR33" s="551"/>
      <c r="ONS33" s="551"/>
      <c r="ONT33" s="551"/>
      <c r="ONU33" s="551"/>
      <c r="ONV33" s="551"/>
      <c r="ONW33" s="551"/>
      <c r="ONX33" s="551"/>
      <c r="ONY33" s="551"/>
      <c r="ONZ33" s="551"/>
      <c r="OOA33" s="551"/>
      <c r="OOB33" s="551"/>
      <c r="OOC33" s="551"/>
      <c r="OOD33" s="551"/>
      <c r="OOE33" s="551"/>
      <c r="OOF33" s="551"/>
      <c r="OOG33" s="551"/>
      <c r="OOH33" s="551"/>
      <c r="OOI33" s="551"/>
      <c r="OOJ33" s="551"/>
      <c r="OOK33" s="551"/>
      <c r="OOL33" s="551"/>
      <c r="OOM33" s="551"/>
      <c r="OON33" s="551"/>
      <c r="OOO33" s="551"/>
      <c r="OOP33" s="551"/>
      <c r="OOQ33" s="551"/>
      <c r="OOR33" s="551"/>
      <c r="OOS33" s="551"/>
      <c r="OOT33" s="551"/>
      <c r="OOU33" s="551"/>
      <c r="OOV33" s="551"/>
      <c r="OOW33" s="551"/>
      <c r="OOX33" s="551"/>
      <c r="OOY33" s="551"/>
      <c r="OOZ33" s="551"/>
      <c r="OPA33" s="551"/>
      <c r="OPB33" s="551"/>
      <c r="OPC33" s="551"/>
      <c r="OPD33" s="551"/>
      <c r="OPE33" s="551"/>
      <c r="OPF33" s="551"/>
      <c r="OPG33" s="551"/>
      <c r="OPH33" s="551"/>
      <c r="OPI33" s="551"/>
      <c r="OPJ33" s="551"/>
      <c r="OPK33" s="551"/>
      <c r="OPL33" s="551"/>
      <c r="OPM33" s="551"/>
      <c r="OPN33" s="551"/>
      <c r="OPO33" s="551"/>
      <c r="OPP33" s="551"/>
      <c r="OPQ33" s="551"/>
      <c r="OPR33" s="551"/>
      <c r="OPS33" s="551"/>
      <c r="OPT33" s="551"/>
      <c r="OPU33" s="551"/>
      <c r="OPV33" s="551"/>
      <c r="OPW33" s="551"/>
      <c r="OPX33" s="551"/>
      <c r="OPY33" s="551"/>
      <c r="OPZ33" s="551"/>
      <c r="OQA33" s="551"/>
      <c r="OQB33" s="551"/>
      <c r="OQC33" s="551"/>
      <c r="OQD33" s="551"/>
      <c r="OQE33" s="551"/>
      <c r="OQF33" s="551"/>
      <c r="OQG33" s="551"/>
      <c r="OQH33" s="551"/>
      <c r="OQI33" s="551"/>
      <c r="OQJ33" s="551"/>
      <c r="OQK33" s="551"/>
      <c r="OQL33" s="551"/>
      <c r="OQM33" s="551"/>
      <c r="OQN33" s="551"/>
      <c r="OQO33" s="551"/>
      <c r="OQP33" s="551"/>
      <c r="OQQ33" s="551"/>
      <c r="OQR33" s="551"/>
      <c r="OQS33" s="551"/>
      <c r="OQT33" s="551"/>
      <c r="OQU33" s="551"/>
      <c r="OQV33" s="551"/>
      <c r="OQW33" s="551"/>
      <c r="OQX33" s="551"/>
      <c r="OQY33" s="551"/>
      <c r="OQZ33" s="551"/>
      <c r="ORA33" s="551"/>
      <c r="ORB33" s="551"/>
      <c r="ORC33" s="551"/>
      <c r="ORD33" s="551"/>
      <c r="ORE33" s="551"/>
      <c r="ORF33" s="551"/>
      <c r="ORG33" s="551"/>
      <c r="ORH33" s="551"/>
      <c r="ORI33" s="551"/>
      <c r="ORJ33" s="551"/>
      <c r="ORK33" s="551"/>
      <c r="ORL33" s="551"/>
      <c r="ORM33" s="551"/>
      <c r="ORN33" s="551"/>
      <c r="ORO33" s="551"/>
      <c r="ORP33" s="551"/>
      <c r="ORQ33" s="551"/>
      <c r="ORR33" s="551"/>
      <c r="ORS33" s="551"/>
      <c r="ORT33" s="551"/>
      <c r="ORU33" s="551"/>
      <c r="ORV33" s="551"/>
      <c r="ORW33" s="551"/>
      <c r="ORX33" s="551"/>
      <c r="ORY33" s="551"/>
      <c r="ORZ33" s="551"/>
      <c r="OSA33" s="551"/>
      <c r="OSB33" s="551"/>
      <c r="OSC33" s="551"/>
      <c r="OSD33" s="551"/>
      <c r="OSE33" s="551"/>
      <c r="OSF33" s="551"/>
      <c r="OSG33" s="551"/>
      <c r="OSH33" s="551"/>
      <c r="OSI33" s="551"/>
      <c r="OSJ33" s="551"/>
      <c r="OSK33" s="551"/>
      <c r="OSL33" s="551"/>
      <c r="OSM33" s="551"/>
      <c r="OSN33" s="551"/>
      <c r="OSO33" s="551"/>
      <c r="OSP33" s="551"/>
      <c r="OSQ33" s="551"/>
      <c r="OSR33" s="551"/>
      <c r="OSS33" s="551"/>
      <c r="OST33" s="551"/>
      <c r="OSU33" s="551"/>
      <c r="OSV33" s="551"/>
      <c r="OSW33" s="551"/>
      <c r="OSX33" s="551"/>
      <c r="OSY33" s="551"/>
      <c r="OSZ33" s="551"/>
      <c r="OTA33" s="551"/>
      <c r="OTB33" s="551"/>
      <c r="OTC33" s="551"/>
      <c r="OTD33" s="551"/>
      <c r="OTE33" s="551"/>
      <c r="OTF33" s="551"/>
      <c r="OTG33" s="551"/>
      <c r="OTH33" s="551"/>
      <c r="OTI33" s="551"/>
      <c r="OTJ33" s="551"/>
      <c r="OTK33" s="551"/>
      <c r="OTL33" s="551"/>
      <c r="OTM33" s="551"/>
      <c r="OTN33" s="551"/>
      <c r="OTO33" s="551"/>
      <c r="OTP33" s="551"/>
      <c r="OTQ33" s="551"/>
      <c r="OTR33" s="551"/>
      <c r="OTS33" s="551"/>
      <c r="OTT33" s="551"/>
      <c r="OTU33" s="551"/>
      <c r="OTV33" s="551"/>
      <c r="OTW33" s="551"/>
      <c r="OTX33" s="551"/>
      <c r="OTY33" s="551"/>
      <c r="OTZ33" s="551"/>
      <c r="OUA33" s="551"/>
      <c r="OUB33" s="551"/>
      <c r="OUC33" s="551"/>
      <c r="OUD33" s="551"/>
      <c r="OUE33" s="551"/>
      <c r="OUF33" s="551"/>
      <c r="OUG33" s="551"/>
      <c r="OUH33" s="551"/>
      <c r="OUI33" s="551"/>
      <c r="OUJ33" s="551"/>
      <c r="OUK33" s="551"/>
      <c r="OUL33" s="551"/>
      <c r="OUM33" s="551"/>
      <c r="OUN33" s="551"/>
      <c r="OUO33" s="551"/>
      <c r="OUP33" s="551"/>
      <c r="OUQ33" s="551"/>
      <c r="OUR33" s="551"/>
      <c r="OUS33" s="551"/>
      <c r="OUT33" s="551"/>
      <c r="OUU33" s="551"/>
      <c r="OUV33" s="551"/>
      <c r="OUW33" s="551"/>
      <c r="OUX33" s="551"/>
      <c r="OUY33" s="551"/>
      <c r="OUZ33" s="551"/>
      <c r="OVA33" s="551"/>
      <c r="OVB33" s="551"/>
      <c r="OVC33" s="551"/>
      <c r="OVD33" s="551"/>
      <c r="OVE33" s="551"/>
      <c r="OVF33" s="551"/>
      <c r="OVG33" s="551"/>
      <c r="OVH33" s="551"/>
      <c r="OVI33" s="551"/>
      <c r="OVJ33" s="551"/>
      <c r="OVK33" s="551"/>
      <c r="OVL33" s="551"/>
      <c r="OVM33" s="551"/>
      <c r="OVN33" s="551"/>
      <c r="OVO33" s="551"/>
      <c r="OVP33" s="551"/>
      <c r="OVQ33" s="551"/>
      <c r="OVR33" s="551"/>
      <c r="OVS33" s="551"/>
      <c r="OVT33" s="551"/>
      <c r="OVU33" s="551"/>
      <c r="OVV33" s="551"/>
      <c r="OVW33" s="551"/>
      <c r="OVX33" s="551"/>
      <c r="OVY33" s="551"/>
      <c r="OVZ33" s="551"/>
      <c r="OWA33" s="551"/>
      <c r="OWB33" s="551"/>
      <c r="OWC33" s="551"/>
      <c r="OWD33" s="551"/>
      <c r="OWE33" s="551"/>
      <c r="OWF33" s="551"/>
      <c r="OWG33" s="551"/>
      <c r="OWH33" s="551"/>
      <c r="OWI33" s="551"/>
      <c r="OWJ33" s="551"/>
      <c r="OWK33" s="551"/>
      <c r="OWL33" s="551"/>
      <c r="OWM33" s="551"/>
      <c r="OWN33" s="551"/>
      <c r="OWO33" s="551"/>
      <c r="OWP33" s="551"/>
      <c r="OWQ33" s="551"/>
      <c r="OWR33" s="551"/>
      <c r="OWS33" s="551"/>
      <c r="OWT33" s="551"/>
      <c r="OWU33" s="551"/>
      <c r="OWV33" s="551"/>
      <c r="OWW33" s="551"/>
      <c r="OWX33" s="551"/>
      <c r="OWY33" s="551"/>
      <c r="OWZ33" s="551"/>
      <c r="OXA33" s="551"/>
      <c r="OXB33" s="551"/>
      <c r="OXC33" s="551"/>
      <c r="OXD33" s="551"/>
      <c r="OXE33" s="551"/>
      <c r="OXF33" s="551"/>
      <c r="OXG33" s="551"/>
      <c r="OXH33" s="551"/>
      <c r="OXI33" s="551"/>
      <c r="OXJ33" s="551"/>
      <c r="OXK33" s="551"/>
      <c r="OXL33" s="551"/>
      <c r="OXM33" s="551"/>
      <c r="OXN33" s="551"/>
      <c r="OXO33" s="551"/>
      <c r="OXP33" s="551"/>
      <c r="OXQ33" s="551"/>
      <c r="OXR33" s="551"/>
      <c r="OXS33" s="551"/>
      <c r="OXT33" s="551"/>
      <c r="OXU33" s="551"/>
      <c r="OXV33" s="551"/>
      <c r="OXW33" s="551"/>
      <c r="OXX33" s="551"/>
      <c r="OXY33" s="551"/>
      <c r="OXZ33" s="551"/>
      <c r="OYA33" s="551"/>
      <c r="OYB33" s="551"/>
      <c r="OYC33" s="551"/>
      <c r="OYD33" s="551"/>
      <c r="OYE33" s="551"/>
      <c r="OYF33" s="551"/>
      <c r="OYG33" s="551"/>
      <c r="OYH33" s="551"/>
      <c r="OYI33" s="551"/>
      <c r="OYJ33" s="551"/>
      <c r="OYK33" s="551"/>
      <c r="OYL33" s="551"/>
      <c r="OYM33" s="551"/>
      <c r="OYN33" s="551"/>
      <c r="OYO33" s="551"/>
      <c r="OYP33" s="551"/>
      <c r="OYQ33" s="551"/>
      <c r="OYR33" s="551"/>
      <c r="OYS33" s="551"/>
      <c r="OYT33" s="551"/>
      <c r="OYU33" s="551"/>
      <c r="OYV33" s="551"/>
      <c r="OYW33" s="551"/>
      <c r="OYX33" s="551"/>
      <c r="OYY33" s="551"/>
      <c r="OYZ33" s="551"/>
      <c r="OZA33" s="551"/>
      <c r="OZB33" s="551"/>
      <c r="OZC33" s="551"/>
      <c r="OZD33" s="551"/>
      <c r="OZE33" s="551"/>
      <c r="OZF33" s="551"/>
      <c r="OZG33" s="551"/>
      <c r="OZH33" s="551"/>
      <c r="OZI33" s="551"/>
      <c r="OZJ33" s="551"/>
      <c r="OZK33" s="551"/>
      <c r="OZL33" s="551"/>
      <c r="OZM33" s="551"/>
      <c r="OZN33" s="551"/>
      <c r="OZO33" s="551"/>
      <c r="OZP33" s="551"/>
      <c r="OZQ33" s="551"/>
      <c r="OZR33" s="551"/>
      <c r="OZS33" s="551"/>
      <c r="OZT33" s="551"/>
      <c r="OZU33" s="551"/>
      <c r="OZV33" s="551"/>
      <c r="OZW33" s="551"/>
      <c r="OZX33" s="551"/>
      <c r="OZY33" s="551"/>
      <c r="OZZ33" s="551"/>
      <c r="PAA33" s="551"/>
      <c r="PAB33" s="551"/>
      <c r="PAC33" s="551"/>
      <c r="PAD33" s="551"/>
      <c r="PAE33" s="551"/>
      <c r="PAF33" s="551"/>
      <c r="PAG33" s="551"/>
      <c r="PAH33" s="551"/>
      <c r="PAI33" s="551"/>
      <c r="PAJ33" s="551"/>
      <c r="PAK33" s="551"/>
      <c r="PAL33" s="551"/>
      <c r="PAM33" s="551"/>
      <c r="PAN33" s="551"/>
      <c r="PAO33" s="551"/>
      <c r="PAP33" s="551"/>
      <c r="PAQ33" s="551"/>
      <c r="PAR33" s="551"/>
      <c r="PAS33" s="551"/>
      <c r="PAT33" s="551"/>
      <c r="PAU33" s="551"/>
      <c r="PAV33" s="551"/>
      <c r="PAW33" s="551"/>
      <c r="PAX33" s="551"/>
      <c r="PAY33" s="551"/>
      <c r="PAZ33" s="551"/>
      <c r="PBA33" s="551"/>
      <c r="PBB33" s="551"/>
      <c r="PBC33" s="551"/>
      <c r="PBD33" s="551"/>
      <c r="PBE33" s="551"/>
      <c r="PBF33" s="551"/>
      <c r="PBG33" s="551"/>
      <c r="PBH33" s="551"/>
      <c r="PBI33" s="551"/>
      <c r="PBJ33" s="551"/>
      <c r="PBK33" s="551"/>
      <c r="PBL33" s="551"/>
      <c r="PBM33" s="551"/>
      <c r="PBN33" s="551"/>
      <c r="PBO33" s="551"/>
      <c r="PBP33" s="551"/>
      <c r="PBQ33" s="551"/>
      <c r="PBR33" s="551"/>
      <c r="PBS33" s="551"/>
      <c r="PBT33" s="551"/>
      <c r="PBU33" s="551"/>
      <c r="PBV33" s="551"/>
      <c r="PBW33" s="551"/>
      <c r="PBX33" s="551"/>
      <c r="PBY33" s="551"/>
      <c r="PBZ33" s="551"/>
      <c r="PCA33" s="551"/>
      <c r="PCB33" s="551"/>
      <c r="PCC33" s="551"/>
      <c r="PCD33" s="551"/>
      <c r="PCE33" s="551"/>
      <c r="PCF33" s="551"/>
      <c r="PCG33" s="551"/>
      <c r="PCH33" s="551"/>
      <c r="PCI33" s="551"/>
      <c r="PCJ33" s="551"/>
      <c r="PCK33" s="551"/>
      <c r="PCL33" s="551"/>
      <c r="PCM33" s="551"/>
      <c r="PCN33" s="551"/>
      <c r="PCO33" s="551"/>
      <c r="PCP33" s="551"/>
      <c r="PCQ33" s="551"/>
      <c r="PCR33" s="551"/>
      <c r="PCS33" s="551"/>
      <c r="PCT33" s="551"/>
      <c r="PCU33" s="551"/>
      <c r="PCV33" s="551"/>
      <c r="PCW33" s="551"/>
      <c r="PCX33" s="551"/>
      <c r="PCY33" s="551"/>
      <c r="PCZ33" s="551"/>
      <c r="PDA33" s="551"/>
      <c r="PDB33" s="551"/>
      <c r="PDC33" s="551"/>
      <c r="PDD33" s="551"/>
      <c r="PDE33" s="551"/>
      <c r="PDF33" s="551"/>
      <c r="PDG33" s="551"/>
      <c r="PDH33" s="551"/>
      <c r="PDI33" s="551"/>
      <c r="PDJ33" s="551"/>
      <c r="PDK33" s="551"/>
      <c r="PDL33" s="551"/>
      <c r="PDM33" s="551"/>
      <c r="PDN33" s="551"/>
      <c r="PDO33" s="551"/>
      <c r="PDP33" s="551"/>
      <c r="PDQ33" s="551"/>
      <c r="PDR33" s="551"/>
      <c r="PDS33" s="551"/>
      <c r="PDT33" s="551"/>
      <c r="PDU33" s="551"/>
      <c r="PDV33" s="551"/>
      <c r="PDW33" s="551"/>
      <c r="PDX33" s="551"/>
      <c r="PDY33" s="551"/>
      <c r="PDZ33" s="551"/>
      <c r="PEA33" s="551"/>
      <c r="PEB33" s="551"/>
      <c r="PEC33" s="551"/>
      <c r="PED33" s="551"/>
      <c r="PEE33" s="551"/>
      <c r="PEF33" s="551"/>
      <c r="PEG33" s="551"/>
      <c r="PEH33" s="551"/>
      <c r="PEI33" s="551"/>
      <c r="PEJ33" s="551"/>
      <c r="PEK33" s="551"/>
      <c r="PEL33" s="551"/>
      <c r="PEM33" s="551"/>
      <c r="PEN33" s="551"/>
      <c r="PEO33" s="551"/>
      <c r="PEP33" s="551"/>
      <c r="PEQ33" s="551"/>
      <c r="PER33" s="551"/>
      <c r="PES33" s="551"/>
      <c r="PET33" s="551"/>
      <c r="PEU33" s="551"/>
      <c r="PEV33" s="551"/>
      <c r="PEW33" s="551"/>
      <c r="PEX33" s="551"/>
      <c r="PEY33" s="551"/>
      <c r="PEZ33" s="551"/>
      <c r="PFA33" s="551"/>
      <c r="PFB33" s="551"/>
      <c r="PFC33" s="551"/>
      <c r="PFD33" s="551"/>
      <c r="PFE33" s="551"/>
      <c r="PFF33" s="551"/>
      <c r="PFG33" s="551"/>
      <c r="PFH33" s="551"/>
      <c r="PFI33" s="551"/>
      <c r="PFJ33" s="551"/>
      <c r="PFK33" s="551"/>
      <c r="PFL33" s="551"/>
      <c r="PFM33" s="551"/>
      <c r="PFN33" s="551"/>
      <c r="PFO33" s="551"/>
      <c r="PFP33" s="551"/>
      <c r="PFQ33" s="551"/>
      <c r="PFR33" s="551"/>
      <c r="PFS33" s="551"/>
      <c r="PFT33" s="551"/>
      <c r="PFU33" s="551"/>
      <c r="PFV33" s="551"/>
      <c r="PFW33" s="551"/>
      <c r="PFX33" s="551"/>
      <c r="PFY33" s="551"/>
      <c r="PFZ33" s="551"/>
      <c r="PGA33" s="551"/>
      <c r="PGB33" s="551"/>
      <c r="PGC33" s="551"/>
      <c r="PGD33" s="551"/>
      <c r="PGE33" s="551"/>
      <c r="PGF33" s="551"/>
      <c r="PGG33" s="551"/>
      <c r="PGH33" s="551"/>
      <c r="PGI33" s="551"/>
      <c r="PGJ33" s="551"/>
      <c r="PGK33" s="551"/>
      <c r="PGL33" s="551"/>
      <c r="PGM33" s="551"/>
      <c r="PGN33" s="551"/>
      <c r="PGO33" s="551"/>
      <c r="PGP33" s="551"/>
      <c r="PGQ33" s="551"/>
      <c r="PGR33" s="551"/>
      <c r="PGS33" s="551"/>
      <c r="PGT33" s="551"/>
      <c r="PGU33" s="551"/>
      <c r="PGV33" s="551"/>
      <c r="PGW33" s="551"/>
      <c r="PGX33" s="551"/>
      <c r="PGY33" s="551"/>
      <c r="PGZ33" s="551"/>
      <c r="PHA33" s="551"/>
      <c r="PHB33" s="551"/>
      <c r="PHC33" s="551"/>
      <c r="PHD33" s="551"/>
      <c r="PHE33" s="551"/>
      <c r="PHF33" s="551"/>
      <c r="PHG33" s="551"/>
      <c r="PHH33" s="551"/>
      <c r="PHI33" s="551"/>
      <c r="PHJ33" s="551"/>
      <c r="PHK33" s="551"/>
      <c r="PHL33" s="551"/>
      <c r="PHM33" s="551"/>
      <c r="PHN33" s="551"/>
      <c r="PHO33" s="551"/>
      <c r="PHP33" s="551"/>
      <c r="PHQ33" s="551"/>
      <c r="PHR33" s="551"/>
      <c r="PHS33" s="551"/>
      <c r="PHT33" s="551"/>
      <c r="PHU33" s="551"/>
      <c r="PHV33" s="551"/>
      <c r="PHW33" s="551"/>
      <c r="PHX33" s="551"/>
      <c r="PHY33" s="551"/>
      <c r="PHZ33" s="551"/>
      <c r="PIA33" s="551"/>
      <c r="PIB33" s="551"/>
      <c r="PIC33" s="551"/>
      <c r="PID33" s="551"/>
      <c r="PIE33" s="551"/>
      <c r="PIF33" s="551"/>
      <c r="PIG33" s="551"/>
      <c r="PIH33" s="551"/>
      <c r="PII33" s="551"/>
      <c r="PIJ33" s="551"/>
      <c r="PIK33" s="551"/>
      <c r="PIL33" s="551"/>
      <c r="PIM33" s="551"/>
      <c r="PIN33" s="551"/>
      <c r="PIO33" s="551"/>
      <c r="PIP33" s="551"/>
      <c r="PIQ33" s="551"/>
      <c r="PIR33" s="551"/>
      <c r="PIS33" s="551"/>
      <c r="PIT33" s="551"/>
      <c r="PIU33" s="551"/>
      <c r="PIV33" s="551"/>
      <c r="PIW33" s="551"/>
      <c r="PIX33" s="551"/>
      <c r="PIY33" s="551"/>
      <c r="PIZ33" s="551"/>
      <c r="PJA33" s="551"/>
      <c r="PJB33" s="551"/>
      <c r="PJC33" s="551"/>
      <c r="PJD33" s="551"/>
      <c r="PJE33" s="551"/>
      <c r="PJF33" s="551"/>
      <c r="PJG33" s="551"/>
      <c r="PJH33" s="551"/>
      <c r="PJI33" s="551"/>
      <c r="PJJ33" s="551"/>
      <c r="PJK33" s="551"/>
      <c r="PJL33" s="551"/>
      <c r="PJM33" s="551"/>
      <c r="PJN33" s="551"/>
      <c r="PJO33" s="551"/>
      <c r="PJP33" s="551"/>
      <c r="PJQ33" s="551"/>
      <c r="PJR33" s="551"/>
      <c r="PJS33" s="551"/>
      <c r="PJT33" s="551"/>
      <c r="PJU33" s="551"/>
      <c r="PJV33" s="551"/>
      <c r="PJW33" s="551"/>
      <c r="PJX33" s="551"/>
      <c r="PJY33" s="551"/>
      <c r="PJZ33" s="551"/>
      <c r="PKA33" s="551"/>
      <c r="PKB33" s="551"/>
      <c r="PKC33" s="551"/>
      <c r="PKD33" s="551"/>
      <c r="PKE33" s="551"/>
      <c r="PKF33" s="551"/>
      <c r="PKG33" s="551"/>
      <c r="PKH33" s="551"/>
      <c r="PKI33" s="551"/>
      <c r="PKJ33" s="551"/>
      <c r="PKK33" s="551"/>
      <c r="PKL33" s="551"/>
      <c r="PKM33" s="551"/>
      <c r="PKN33" s="551"/>
      <c r="PKO33" s="551"/>
      <c r="PKP33" s="551"/>
      <c r="PKQ33" s="551"/>
      <c r="PKR33" s="551"/>
      <c r="PKS33" s="551"/>
      <c r="PKT33" s="551"/>
      <c r="PKU33" s="551"/>
      <c r="PKV33" s="551"/>
      <c r="PKW33" s="551"/>
      <c r="PKX33" s="551"/>
      <c r="PKY33" s="551"/>
      <c r="PKZ33" s="551"/>
      <c r="PLA33" s="551"/>
      <c r="PLB33" s="551"/>
      <c r="PLC33" s="551"/>
      <c r="PLD33" s="551"/>
      <c r="PLE33" s="551"/>
      <c r="PLF33" s="551"/>
      <c r="PLG33" s="551"/>
      <c r="PLH33" s="551"/>
      <c r="PLI33" s="551"/>
      <c r="PLJ33" s="551"/>
      <c r="PLK33" s="551"/>
      <c r="PLL33" s="551"/>
      <c r="PLM33" s="551"/>
      <c r="PLN33" s="551"/>
      <c r="PLO33" s="551"/>
      <c r="PLP33" s="551"/>
      <c r="PLQ33" s="551"/>
      <c r="PLR33" s="551"/>
      <c r="PLS33" s="551"/>
      <c r="PLT33" s="551"/>
      <c r="PLU33" s="551"/>
      <c r="PLV33" s="551"/>
      <c r="PLW33" s="551"/>
      <c r="PLX33" s="551"/>
      <c r="PLY33" s="551"/>
      <c r="PLZ33" s="551"/>
      <c r="PMA33" s="551"/>
      <c r="PMB33" s="551"/>
      <c r="PMC33" s="551"/>
      <c r="PMD33" s="551"/>
      <c r="PME33" s="551"/>
      <c r="PMF33" s="551"/>
      <c r="PMG33" s="551"/>
      <c r="PMH33" s="551"/>
      <c r="PMI33" s="551"/>
      <c r="PMJ33" s="551"/>
      <c r="PMK33" s="551"/>
      <c r="PML33" s="551"/>
      <c r="PMM33" s="551"/>
      <c r="PMN33" s="551"/>
      <c r="PMO33" s="551"/>
      <c r="PMP33" s="551"/>
      <c r="PMQ33" s="551"/>
      <c r="PMR33" s="551"/>
      <c r="PMS33" s="551"/>
      <c r="PMT33" s="551"/>
      <c r="PMU33" s="551"/>
      <c r="PMV33" s="551"/>
      <c r="PMW33" s="551"/>
      <c r="PMX33" s="551"/>
      <c r="PMY33" s="551"/>
      <c r="PMZ33" s="551"/>
      <c r="PNA33" s="551"/>
      <c r="PNB33" s="551"/>
      <c r="PNC33" s="551"/>
      <c r="PND33" s="551"/>
      <c r="PNE33" s="551"/>
      <c r="PNF33" s="551"/>
      <c r="PNG33" s="551"/>
      <c r="PNH33" s="551"/>
      <c r="PNI33" s="551"/>
      <c r="PNJ33" s="551"/>
      <c r="PNK33" s="551"/>
      <c r="PNL33" s="551"/>
      <c r="PNM33" s="551"/>
      <c r="PNN33" s="551"/>
      <c r="PNO33" s="551"/>
      <c r="PNP33" s="551"/>
      <c r="PNQ33" s="551"/>
      <c r="PNR33" s="551"/>
      <c r="PNS33" s="551"/>
      <c r="PNT33" s="551"/>
      <c r="PNU33" s="551"/>
      <c r="PNV33" s="551"/>
      <c r="PNW33" s="551"/>
      <c r="PNX33" s="551"/>
      <c r="PNY33" s="551"/>
      <c r="PNZ33" s="551"/>
      <c r="POA33" s="551"/>
      <c r="POB33" s="551"/>
      <c r="POC33" s="551"/>
      <c r="POD33" s="551"/>
      <c r="POE33" s="551"/>
      <c r="POF33" s="551"/>
      <c r="POG33" s="551"/>
      <c r="POH33" s="551"/>
      <c r="POI33" s="551"/>
      <c r="POJ33" s="551"/>
      <c r="POK33" s="551"/>
      <c r="POL33" s="551"/>
      <c r="POM33" s="551"/>
      <c r="PON33" s="551"/>
      <c r="POO33" s="551"/>
      <c r="POP33" s="551"/>
      <c r="POQ33" s="551"/>
      <c r="POR33" s="551"/>
      <c r="POS33" s="551"/>
      <c r="POT33" s="551"/>
      <c r="POU33" s="551"/>
      <c r="POV33" s="551"/>
      <c r="POW33" s="551"/>
      <c r="POX33" s="551"/>
      <c r="POY33" s="551"/>
      <c r="POZ33" s="551"/>
      <c r="PPA33" s="551"/>
      <c r="PPB33" s="551"/>
      <c r="PPC33" s="551"/>
      <c r="PPD33" s="551"/>
      <c r="PPE33" s="551"/>
      <c r="PPF33" s="551"/>
      <c r="PPG33" s="551"/>
      <c r="PPH33" s="551"/>
      <c r="PPI33" s="551"/>
      <c r="PPJ33" s="551"/>
      <c r="PPK33" s="551"/>
      <c r="PPL33" s="551"/>
      <c r="PPM33" s="551"/>
      <c r="PPN33" s="551"/>
      <c r="PPO33" s="551"/>
      <c r="PPP33" s="551"/>
      <c r="PPQ33" s="551"/>
      <c r="PPR33" s="551"/>
      <c r="PPS33" s="551"/>
      <c r="PPT33" s="551"/>
      <c r="PPU33" s="551"/>
      <c r="PPV33" s="551"/>
      <c r="PPW33" s="551"/>
      <c r="PPX33" s="551"/>
      <c r="PPY33" s="551"/>
      <c r="PPZ33" s="551"/>
      <c r="PQA33" s="551"/>
      <c r="PQB33" s="551"/>
      <c r="PQC33" s="551"/>
      <c r="PQD33" s="551"/>
      <c r="PQE33" s="551"/>
      <c r="PQF33" s="551"/>
      <c r="PQG33" s="551"/>
      <c r="PQH33" s="551"/>
      <c r="PQI33" s="551"/>
      <c r="PQJ33" s="551"/>
      <c r="PQK33" s="551"/>
      <c r="PQL33" s="551"/>
      <c r="PQM33" s="551"/>
      <c r="PQN33" s="551"/>
      <c r="PQO33" s="551"/>
      <c r="PQP33" s="551"/>
      <c r="PQQ33" s="551"/>
      <c r="PQR33" s="551"/>
      <c r="PQS33" s="551"/>
      <c r="PQT33" s="551"/>
      <c r="PQU33" s="551"/>
      <c r="PQV33" s="551"/>
      <c r="PQW33" s="551"/>
      <c r="PQX33" s="551"/>
      <c r="PQY33" s="551"/>
      <c r="PQZ33" s="551"/>
      <c r="PRA33" s="551"/>
      <c r="PRB33" s="551"/>
      <c r="PRC33" s="551"/>
      <c r="PRD33" s="551"/>
      <c r="PRE33" s="551"/>
      <c r="PRF33" s="551"/>
      <c r="PRG33" s="551"/>
      <c r="PRH33" s="551"/>
      <c r="PRI33" s="551"/>
      <c r="PRJ33" s="551"/>
      <c r="PRK33" s="551"/>
      <c r="PRL33" s="551"/>
      <c r="PRM33" s="551"/>
      <c r="PRN33" s="551"/>
      <c r="PRO33" s="551"/>
      <c r="PRP33" s="551"/>
      <c r="PRQ33" s="551"/>
      <c r="PRR33" s="551"/>
      <c r="PRS33" s="551"/>
      <c r="PRT33" s="551"/>
      <c r="PRU33" s="551"/>
      <c r="PRV33" s="551"/>
      <c r="PRW33" s="551"/>
      <c r="PRX33" s="551"/>
      <c r="PRY33" s="551"/>
      <c r="PRZ33" s="551"/>
      <c r="PSA33" s="551"/>
      <c r="PSB33" s="551"/>
      <c r="PSC33" s="551"/>
      <c r="PSD33" s="551"/>
      <c r="PSE33" s="551"/>
      <c r="PSF33" s="551"/>
      <c r="PSG33" s="551"/>
      <c r="PSH33" s="551"/>
      <c r="PSI33" s="551"/>
      <c r="PSJ33" s="551"/>
      <c r="PSK33" s="551"/>
      <c r="PSL33" s="551"/>
      <c r="PSM33" s="551"/>
      <c r="PSN33" s="551"/>
      <c r="PSO33" s="551"/>
      <c r="PSP33" s="551"/>
      <c r="PSQ33" s="551"/>
      <c r="PSR33" s="551"/>
      <c r="PSS33" s="551"/>
      <c r="PST33" s="551"/>
      <c r="PSU33" s="551"/>
      <c r="PSV33" s="551"/>
      <c r="PSW33" s="551"/>
      <c r="PSX33" s="551"/>
      <c r="PSY33" s="551"/>
      <c r="PSZ33" s="551"/>
      <c r="PTA33" s="551"/>
      <c r="PTB33" s="551"/>
      <c r="PTC33" s="551"/>
      <c r="PTD33" s="551"/>
      <c r="PTE33" s="551"/>
      <c r="PTF33" s="551"/>
      <c r="PTG33" s="551"/>
      <c r="PTH33" s="551"/>
      <c r="PTI33" s="551"/>
      <c r="PTJ33" s="551"/>
      <c r="PTK33" s="551"/>
      <c r="PTL33" s="551"/>
      <c r="PTM33" s="551"/>
      <c r="PTN33" s="551"/>
      <c r="PTO33" s="551"/>
      <c r="PTP33" s="551"/>
      <c r="PTQ33" s="551"/>
      <c r="PTR33" s="551"/>
      <c r="PTS33" s="551"/>
      <c r="PTT33" s="551"/>
      <c r="PTU33" s="551"/>
      <c r="PTV33" s="551"/>
      <c r="PTW33" s="551"/>
      <c r="PTX33" s="551"/>
      <c r="PTY33" s="551"/>
      <c r="PTZ33" s="551"/>
      <c r="PUA33" s="551"/>
      <c r="PUB33" s="551"/>
      <c r="PUC33" s="551"/>
      <c r="PUD33" s="551"/>
      <c r="PUE33" s="551"/>
      <c r="PUF33" s="551"/>
      <c r="PUG33" s="551"/>
      <c r="PUH33" s="551"/>
      <c r="PUI33" s="551"/>
      <c r="PUJ33" s="551"/>
      <c r="PUK33" s="551"/>
      <c r="PUL33" s="551"/>
      <c r="PUM33" s="551"/>
      <c r="PUN33" s="551"/>
      <c r="PUO33" s="551"/>
      <c r="PUP33" s="551"/>
      <c r="PUQ33" s="551"/>
      <c r="PUR33" s="551"/>
      <c r="PUS33" s="551"/>
      <c r="PUT33" s="551"/>
      <c r="PUU33" s="551"/>
      <c r="PUV33" s="551"/>
      <c r="PUW33" s="551"/>
      <c r="PUX33" s="551"/>
      <c r="PUY33" s="551"/>
      <c r="PUZ33" s="551"/>
      <c r="PVA33" s="551"/>
      <c r="PVB33" s="551"/>
      <c r="PVC33" s="551"/>
      <c r="PVD33" s="551"/>
      <c r="PVE33" s="551"/>
      <c r="PVF33" s="551"/>
      <c r="PVG33" s="551"/>
      <c r="PVH33" s="551"/>
      <c r="PVI33" s="551"/>
      <c r="PVJ33" s="551"/>
      <c r="PVK33" s="551"/>
      <c r="PVL33" s="551"/>
      <c r="PVM33" s="551"/>
      <c r="PVN33" s="551"/>
      <c r="PVO33" s="551"/>
      <c r="PVP33" s="551"/>
      <c r="PVQ33" s="551"/>
      <c r="PVR33" s="551"/>
      <c r="PVS33" s="551"/>
      <c r="PVT33" s="551"/>
      <c r="PVU33" s="551"/>
      <c r="PVV33" s="551"/>
      <c r="PVW33" s="551"/>
      <c r="PVX33" s="551"/>
      <c r="PVY33" s="551"/>
      <c r="PVZ33" s="551"/>
      <c r="PWA33" s="551"/>
      <c r="PWB33" s="551"/>
      <c r="PWC33" s="551"/>
      <c r="PWD33" s="551"/>
      <c r="PWE33" s="551"/>
      <c r="PWF33" s="551"/>
      <c r="PWG33" s="551"/>
      <c r="PWH33" s="551"/>
      <c r="PWI33" s="551"/>
      <c r="PWJ33" s="551"/>
      <c r="PWK33" s="551"/>
      <c r="PWL33" s="551"/>
      <c r="PWM33" s="551"/>
      <c r="PWN33" s="551"/>
      <c r="PWO33" s="551"/>
      <c r="PWP33" s="551"/>
      <c r="PWQ33" s="551"/>
      <c r="PWR33" s="551"/>
      <c r="PWS33" s="551"/>
      <c r="PWT33" s="551"/>
      <c r="PWU33" s="551"/>
      <c r="PWV33" s="551"/>
      <c r="PWW33" s="551"/>
      <c r="PWX33" s="551"/>
      <c r="PWY33" s="551"/>
      <c r="PWZ33" s="551"/>
      <c r="PXA33" s="551"/>
      <c r="PXB33" s="551"/>
      <c r="PXC33" s="551"/>
      <c r="PXD33" s="551"/>
      <c r="PXE33" s="551"/>
      <c r="PXF33" s="551"/>
      <c r="PXG33" s="551"/>
      <c r="PXH33" s="551"/>
      <c r="PXI33" s="551"/>
      <c r="PXJ33" s="551"/>
      <c r="PXK33" s="551"/>
      <c r="PXL33" s="551"/>
      <c r="PXM33" s="551"/>
      <c r="PXN33" s="551"/>
      <c r="PXO33" s="551"/>
      <c r="PXP33" s="551"/>
      <c r="PXQ33" s="551"/>
      <c r="PXR33" s="551"/>
      <c r="PXS33" s="551"/>
      <c r="PXT33" s="551"/>
      <c r="PXU33" s="551"/>
      <c r="PXV33" s="551"/>
      <c r="PXW33" s="551"/>
      <c r="PXX33" s="551"/>
      <c r="PXY33" s="551"/>
      <c r="PXZ33" s="551"/>
      <c r="PYA33" s="551"/>
      <c r="PYB33" s="551"/>
      <c r="PYC33" s="551"/>
      <c r="PYD33" s="551"/>
      <c r="PYE33" s="551"/>
      <c r="PYF33" s="551"/>
      <c r="PYG33" s="551"/>
      <c r="PYH33" s="551"/>
      <c r="PYI33" s="551"/>
      <c r="PYJ33" s="551"/>
      <c r="PYK33" s="551"/>
      <c r="PYL33" s="551"/>
      <c r="PYM33" s="551"/>
      <c r="PYN33" s="551"/>
      <c r="PYO33" s="551"/>
      <c r="PYP33" s="551"/>
      <c r="PYQ33" s="551"/>
      <c r="PYR33" s="551"/>
      <c r="PYS33" s="551"/>
      <c r="PYT33" s="551"/>
      <c r="PYU33" s="551"/>
      <c r="PYV33" s="551"/>
      <c r="PYW33" s="551"/>
      <c r="PYX33" s="551"/>
      <c r="PYY33" s="551"/>
      <c r="PYZ33" s="551"/>
      <c r="PZA33" s="551"/>
      <c r="PZB33" s="551"/>
      <c r="PZC33" s="551"/>
      <c r="PZD33" s="551"/>
      <c r="PZE33" s="551"/>
      <c r="PZF33" s="551"/>
      <c r="PZG33" s="551"/>
      <c r="PZH33" s="551"/>
      <c r="PZI33" s="551"/>
      <c r="PZJ33" s="551"/>
      <c r="PZK33" s="551"/>
      <c r="PZL33" s="551"/>
      <c r="PZM33" s="551"/>
      <c r="PZN33" s="551"/>
      <c r="PZO33" s="551"/>
      <c r="PZP33" s="551"/>
      <c r="PZQ33" s="551"/>
      <c r="PZR33" s="551"/>
      <c r="PZS33" s="551"/>
      <c r="PZT33" s="551"/>
      <c r="PZU33" s="551"/>
      <c r="PZV33" s="551"/>
      <c r="PZW33" s="551"/>
      <c r="PZX33" s="551"/>
      <c r="PZY33" s="551"/>
      <c r="PZZ33" s="551"/>
      <c r="QAA33" s="551"/>
      <c r="QAB33" s="551"/>
      <c r="QAC33" s="551"/>
      <c r="QAD33" s="551"/>
      <c r="QAE33" s="551"/>
      <c r="QAF33" s="551"/>
      <c r="QAG33" s="551"/>
      <c r="QAH33" s="551"/>
      <c r="QAI33" s="551"/>
      <c r="QAJ33" s="551"/>
      <c r="QAK33" s="551"/>
      <c r="QAL33" s="551"/>
      <c r="QAM33" s="551"/>
      <c r="QAN33" s="551"/>
      <c r="QAO33" s="551"/>
      <c r="QAP33" s="551"/>
      <c r="QAQ33" s="551"/>
      <c r="QAR33" s="551"/>
      <c r="QAS33" s="551"/>
      <c r="QAT33" s="551"/>
      <c r="QAU33" s="551"/>
      <c r="QAV33" s="551"/>
      <c r="QAW33" s="551"/>
      <c r="QAX33" s="551"/>
      <c r="QAY33" s="551"/>
      <c r="QAZ33" s="551"/>
      <c r="QBA33" s="551"/>
      <c r="QBB33" s="551"/>
      <c r="QBC33" s="551"/>
      <c r="QBD33" s="551"/>
      <c r="QBE33" s="551"/>
      <c r="QBF33" s="551"/>
      <c r="QBG33" s="551"/>
      <c r="QBH33" s="551"/>
      <c r="QBI33" s="551"/>
      <c r="QBJ33" s="551"/>
      <c r="QBK33" s="551"/>
      <c r="QBL33" s="551"/>
      <c r="QBM33" s="551"/>
      <c r="QBN33" s="551"/>
      <c r="QBO33" s="551"/>
      <c r="QBP33" s="551"/>
      <c r="QBQ33" s="551"/>
      <c r="QBR33" s="551"/>
      <c r="QBS33" s="551"/>
      <c r="QBT33" s="551"/>
      <c r="QBU33" s="551"/>
      <c r="QBV33" s="551"/>
      <c r="QBW33" s="551"/>
      <c r="QBX33" s="551"/>
      <c r="QBY33" s="551"/>
      <c r="QBZ33" s="551"/>
      <c r="QCA33" s="551"/>
      <c r="QCB33" s="551"/>
      <c r="QCC33" s="551"/>
      <c r="QCD33" s="551"/>
      <c r="QCE33" s="551"/>
      <c r="QCF33" s="551"/>
      <c r="QCG33" s="551"/>
      <c r="QCH33" s="551"/>
      <c r="QCI33" s="551"/>
      <c r="QCJ33" s="551"/>
      <c r="QCK33" s="551"/>
      <c r="QCL33" s="551"/>
      <c r="QCM33" s="551"/>
      <c r="QCN33" s="551"/>
      <c r="QCO33" s="551"/>
      <c r="QCP33" s="551"/>
      <c r="QCQ33" s="551"/>
      <c r="QCR33" s="551"/>
      <c r="QCS33" s="551"/>
      <c r="QCT33" s="551"/>
      <c r="QCU33" s="551"/>
      <c r="QCV33" s="551"/>
      <c r="QCW33" s="551"/>
      <c r="QCX33" s="551"/>
      <c r="QCY33" s="551"/>
      <c r="QCZ33" s="551"/>
      <c r="QDA33" s="551"/>
      <c r="QDB33" s="551"/>
      <c r="QDC33" s="551"/>
      <c r="QDD33" s="551"/>
      <c r="QDE33" s="551"/>
      <c r="QDF33" s="551"/>
      <c r="QDG33" s="551"/>
      <c r="QDH33" s="551"/>
      <c r="QDI33" s="551"/>
      <c r="QDJ33" s="551"/>
      <c r="QDK33" s="551"/>
      <c r="QDL33" s="551"/>
      <c r="QDM33" s="551"/>
      <c r="QDN33" s="551"/>
      <c r="QDO33" s="551"/>
      <c r="QDP33" s="551"/>
      <c r="QDQ33" s="551"/>
      <c r="QDR33" s="551"/>
      <c r="QDS33" s="551"/>
      <c r="QDT33" s="551"/>
      <c r="QDU33" s="551"/>
      <c r="QDV33" s="551"/>
      <c r="QDW33" s="551"/>
      <c r="QDX33" s="551"/>
      <c r="QDY33" s="551"/>
      <c r="QDZ33" s="551"/>
      <c r="QEA33" s="551"/>
      <c r="QEB33" s="551"/>
      <c r="QEC33" s="551"/>
      <c r="QED33" s="551"/>
      <c r="QEE33" s="551"/>
      <c r="QEF33" s="551"/>
      <c r="QEG33" s="551"/>
      <c r="QEH33" s="551"/>
      <c r="QEI33" s="551"/>
      <c r="QEJ33" s="551"/>
      <c r="QEK33" s="551"/>
      <c r="QEL33" s="551"/>
      <c r="QEM33" s="551"/>
      <c r="QEN33" s="551"/>
      <c r="QEO33" s="551"/>
      <c r="QEP33" s="551"/>
      <c r="QEQ33" s="551"/>
      <c r="QER33" s="551"/>
      <c r="QES33" s="551"/>
      <c r="QET33" s="551"/>
      <c r="QEU33" s="551"/>
      <c r="QEV33" s="551"/>
      <c r="QEW33" s="551"/>
      <c r="QEX33" s="551"/>
      <c r="QEY33" s="551"/>
      <c r="QEZ33" s="551"/>
      <c r="QFA33" s="551"/>
      <c r="QFB33" s="551"/>
      <c r="QFC33" s="551"/>
      <c r="QFD33" s="551"/>
      <c r="QFE33" s="551"/>
      <c r="QFF33" s="551"/>
      <c r="QFG33" s="551"/>
      <c r="QFH33" s="551"/>
      <c r="QFI33" s="551"/>
      <c r="QFJ33" s="551"/>
      <c r="QFK33" s="551"/>
      <c r="QFL33" s="551"/>
      <c r="QFM33" s="551"/>
      <c r="QFN33" s="551"/>
      <c r="QFO33" s="551"/>
      <c r="QFP33" s="551"/>
      <c r="QFQ33" s="551"/>
      <c r="QFR33" s="551"/>
      <c r="QFS33" s="551"/>
      <c r="QFT33" s="551"/>
      <c r="QFU33" s="551"/>
      <c r="QFV33" s="551"/>
      <c r="QFW33" s="551"/>
      <c r="QFX33" s="551"/>
      <c r="QFY33" s="551"/>
      <c r="QFZ33" s="551"/>
      <c r="QGA33" s="551"/>
      <c r="QGB33" s="551"/>
      <c r="QGC33" s="551"/>
      <c r="QGD33" s="551"/>
      <c r="QGE33" s="551"/>
      <c r="QGF33" s="551"/>
      <c r="QGG33" s="551"/>
      <c r="QGH33" s="551"/>
      <c r="QGI33" s="551"/>
      <c r="QGJ33" s="551"/>
      <c r="QGK33" s="551"/>
      <c r="QGL33" s="551"/>
      <c r="QGM33" s="551"/>
      <c r="QGN33" s="551"/>
      <c r="QGO33" s="551"/>
      <c r="QGP33" s="551"/>
      <c r="QGQ33" s="551"/>
      <c r="QGR33" s="551"/>
      <c r="QGS33" s="551"/>
      <c r="QGT33" s="551"/>
      <c r="QGU33" s="551"/>
      <c r="QGV33" s="551"/>
      <c r="QGW33" s="551"/>
      <c r="QGX33" s="551"/>
      <c r="QGY33" s="551"/>
      <c r="QGZ33" s="551"/>
      <c r="QHA33" s="551"/>
      <c r="QHB33" s="551"/>
      <c r="QHC33" s="551"/>
      <c r="QHD33" s="551"/>
      <c r="QHE33" s="551"/>
      <c r="QHF33" s="551"/>
      <c r="QHG33" s="551"/>
      <c r="QHH33" s="551"/>
      <c r="QHI33" s="551"/>
      <c r="QHJ33" s="551"/>
      <c r="QHK33" s="551"/>
      <c r="QHL33" s="551"/>
      <c r="QHM33" s="551"/>
      <c r="QHN33" s="551"/>
      <c r="QHO33" s="551"/>
      <c r="QHP33" s="551"/>
      <c r="QHQ33" s="551"/>
      <c r="QHR33" s="551"/>
      <c r="QHS33" s="551"/>
      <c r="QHT33" s="551"/>
      <c r="QHU33" s="551"/>
      <c r="QHV33" s="551"/>
      <c r="QHW33" s="551"/>
      <c r="QHX33" s="551"/>
      <c r="QHY33" s="551"/>
      <c r="QHZ33" s="551"/>
      <c r="QIA33" s="551"/>
      <c r="QIB33" s="551"/>
      <c r="QIC33" s="551"/>
      <c r="QID33" s="551"/>
      <c r="QIE33" s="551"/>
      <c r="QIF33" s="551"/>
      <c r="QIG33" s="551"/>
      <c r="QIH33" s="551"/>
      <c r="QII33" s="551"/>
      <c r="QIJ33" s="551"/>
      <c r="QIK33" s="551"/>
      <c r="QIL33" s="551"/>
      <c r="QIM33" s="551"/>
      <c r="QIN33" s="551"/>
      <c r="QIO33" s="551"/>
      <c r="QIP33" s="551"/>
      <c r="QIQ33" s="551"/>
      <c r="QIR33" s="551"/>
      <c r="QIS33" s="551"/>
      <c r="QIT33" s="551"/>
      <c r="QIU33" s="551"/>
      <c r="QIV33" s="551"/>
      <c r="QIW33" s="551"/>
      <c r="QIX33" s="551"/>
      <c r="QIY33" s="551"/>
      <c r="QIZ33" s="551"/>
      <c r="QJA33" s="551"/>
      <c r="QJB33" s="551"/>
      <c r="QJC33" s="551"/>
      <c r="QJD33" s="551"/>
      <c r="QJE33" s="551"/>
      <c r="QJF33" s="551"/>
      <c r="QJG33" s="551"/>
      <c r="QJH33" s="551"/>
      <c r="QJI33" s="551"/>
      <c r="QJJ33" s="551"/>
      <c r="QJK33" s="551"/>
      <c r="QJL33" s="551"/>
      <c r="QJM33" s="551"/>
      <c r="QJN33" s="551"/>
      <c r="QJO33" s="551"/>
      <c r="QJP33" s="551"/>
      <c r="QJQ33" s="551"/>
      <c r="QJR33" s="551"/>
      <c r="QJS33" s="551"/>
      <c r="QJT33" s="551"/>
      <c r="QJU33" s="551"/>
      <c r="QJV33" s="551"/>
      <c r="QJW33" s="551"/>
      <c r="QJX33" s="551"/>
      <c r="QJY33" s="551"/>
      <c r="QJZ33" s="551"/>
      <c r="QKA33" s="551"/>
      <c r="QKB33" s="551"/>
      <c r="QKC33" s="551"/>
      <c r="QKD33" s="551"/>
      <c r="QKE33" s="551"/>
      <c r="QKF33" s="551"/>
      <c r="QKG33" s="551"/>
      <c r="QKH33" s="551"/>
      <c r="QKI33" s="551"/>
      <c r="QKJ33" s="551"/>
      <c r="QKK33" s="551"/>
      <c r="QKL33" s="551"/>
      <c r="QKM33" s="551"/>
      <c r="QKN33" s="551"/>
      <c r="QKO33" s="551"/>
      <c r="QKP33" s="551"/>
      <c r="QKQ33" s="551"/>
      <c r="QKR33" s="551"/>
      <c r="QKS33" s="551"/>
      <c r="QKT33" s="551"/>
      <c r="QKU33" s="551"/>
      <c r="QKV33" s="551"/>
      <c r="QKW33" s="551"/>
      <c r="QKX33" s="551"/>
      <c r="QKY33" s="551"/>
      <c r="QKZ33" s="551"/>
      <c r="QLA33" s="551"/>
      <c r="QLB33" s="551"/>
      <c r="QLC33" s="551"/>
      <c r="QLD33" s="551"/>
      <c r="QLE33" s="551"/>
      <c r="QLF33" s="551"/>
      <c r="QLG33" s="551"/>
      <c r="QLH33" s="551"/>
      <c r="QLI33" s="551"/>
      <c r="QLJ33" s="551"/>
      <c r="QLK33" s="551"/>
      <c r="QLL33" s="551"/>
      <c r="QLM33" s="551"/>
      <c r="QLN33" s="551"/>
      <c r="QLO33" s="551"/>
      <c r="QLP33" s="551"/>
      <c r="QLQ33" s="551"/>
      <c r="QLR33" s="551"/>
      <c r="QLS33" s="551"/>
      <c r="QLT33" s="551"/>
      <c r="QLU33" s="551"/>
      <c r="QLV33" s="551"/>
      <c r="QLW33" s="551"/>
      <c r="QLX33" s="551"/>
      <c r="QLY33" s="551"/>
      <c r="QLZ33" s="551"/>
      <c r="QMA33" s="551"/>
      <c r="QMB33" s="551"/>
      <c r="QMC33" s="551"/>
      <c r="QMD33" s="551"/>
      <c r="QME33" s="551"/>
      <c r="QMF33" s="551"/>
      <c r="QMG33" s="551"/>
      <c r="QMH33" s="551"/>
      <c r="QMI33" s="551"/>
      <c r="QMJ33" s="551"/>
      <c r="QMK33" s="551"/>
      <c r="QML33" s="551"/>
      <c r="QMM33" s="551"/>
      <c r="QMN33" s="551"/>
      <c r="QMO33" s="551"/>
      <c r="QMP33" s="551"/>
      <c r="QMQ33" s="551"/>
      <c r="QMR33" s="551"/>
      <c r="QMS33" s="551"/>
      <c r="QMT33" s="551"/>
      <c r="QMU33" s="551"/>
      <c r="QMV33" s="551"/>
      <c r="QMW33" s="551"/>
      <c r="QMX33" s="551"/>
      <c r="QMY33" s="551"/>
      <c r="QMZ33" s="551"/>
      <c r="QNA33" s="551"/>
      <c r="QNB33" s="551"/>
      <c r="QNC33" s="551"/>
      <c r="QND33" s="551"/>
      <c r="QNE33" s="551"/>
      <c r="QNF33" s="551"/>
      <c r="QNG33" s="551"/>
      <c r="QNH33" s="551"/>
      <c r="QNI33" s="551"/>
      <c r="QNJ33" s="551"/>
      <c r="QNK33" s="551"/>
      <c r="QNL33" s="551"/>
      <c r="QNM33" s="551"/>
      <c r="QNN33" s="551"/>
      <c r="QNO33" s="551"/>
      <c r="QNP33" s="551"/>
      <c r="QNQ33" s="551"/>
      <c r="QNR33" s="551"/>
      <c r="QNS33" s="551"/>
      <c r="QNT33" s="551"/>
      <c r="QNU33" s="551"/>
      <c r="QNV33" s="551"/>
      <c r="QNW33" s="551"/>
      <c r="QNX33" s="551"/>
      <c r="QNY33" s="551"/>
      <c r="QNZ33" s="551"/>
      <c r="QOA33" s="551"/>
      <c r="QOB33" s="551"/>
      <c r="QOC33" s="551"/>
      <c r="QOD33" s="551"/>
      <c r="QOE33" s="551"/>
      <c r="QOF33" s="551"/>
      <c r="QOG33" s="551"/>
      <c r="QOH33" s="551"/>
      <c r="QOI33" s="551"/>
      <c r="QOJ33" s="551"/>
      <c r="QOK33" s="551"/>
      <c r="QOL33" s="551"/>
      <c r="QOM33" s="551"/>
      <c r="QON33" s="551"/>
      <c r="QOO33" s="551"/>
      <c r="QOP33" s="551"/>
      <c r="QOQ33" s="551"/>
      <c r="QOR33" s="551"/>
      <c r="QOS33" s="551"/>
      <c r="QOT33" s="551"/>
      <c r="QOU33" s="551"/>
      <c r="QOV33" s="551"/>
      <c r="QOW33" s="551"/>
      <c r="QOX33" s="551"/>
      <c r="QOY33" s="551"/>
      <c r="QOZ33" s="551"/>
      <c r="QPA33" s="551"/>
      <c r="QPB33" s="551"/>
      <c r="QPC33" s="551"/>
      <c r="QPD33" s="551"/>
      <c r="QPE33" s="551"/>
      <c r="QPF33" s="551"/>
      <c r="QPG33" s="551"/>
      <c r="QPH33" s="551"/>
      <c r="QPI33" s="551"/>
      <c r="QPJ33" s="551"/>
      <c r="QPK33" s="551"/>
      <c r="QPL33" s="551"/>
      <c r="QPM33" s="551"/>
      <c r="QPN33" s="551"/>
      <c r="QPO33" s="551"/>
      <c r="QPP33" s="551"/>
      <c r="QPQ33" s="551"/>
      <c r="QPR33" s="551"/>
      <c r="QPS33" s="551"/>
      <c r="QPT33" s="551"/>
      <c r="QPU33" s="551"/>
      <c r="QPV33" s="551"/>
      <c r="QPW33" s="551"/>
      <c r="QPX33" s="551"/>
      <c r="QPY33" s="551"/>
      <c r="QPZ33" s="551"/>
      <c r="QQA33" s="551"/>
      <c r="QQB33" s="551"/>
      <c r="QQC33" s="551"/>
      <c r="QQD33" s="551"/>
      <c r="QQE33" s="551"/>
      <c r="QQF33" s="551"/>
      <c r="QQG33" s="551"/>
      <c r="QQH33" s="551"/>
      <c r="QQI33" s="551"/>
      <c r="QQJ33" s="551"/>
      <c r="QQK33" s="551"/>
      <c r="QQL33" s="551"/>
      <c r="QQM33" s="551"/>
      <c r="QQN33" s="551"/>
      <c r="QQO33" s="551"/>
      <c r="QQP33" s="551"/>
      <c r="QQQ33" s="551"/>
      <c r="QQR33" s="551"/>
      <c r="QQS33" s="551"/>
      <c r="QQT33" s="551"/>
      <c r="QQU33" s="551"/>
      <c r="QQV33" s="551"/>
      <c r="QQW33" s="551"/>
      <c r="QQX33" s="551"/>
      <c r="QQY33" s="551"/>
      <c r="QQZ33" s="551"/>
      <c r="QRA33" s="551"/>
      <c r="QRB33" s="551"/>
      <c r="QRC33" s="551"/>
      <c r="QRD33" s="551"/>
      <c r="QRE33" s="551"/>
      <c r="QRF33" s="551"/>
      <c r="QRG33" s="551"/>
      <c r="QRH33" s="551"/>
      <c r="QRI33" s="551"/>
      <c r="QRJ33" s="551"/>
      <c r="QRK33" s="551"/>
      <c r="QRL33" s="551"/>
      <c r="QRM33" s="551"/>
      <c r="QRN33" s="551"/>
      <c r="QRO33" s="551"/>
      <c r="QRP33" s="551"/>
      <c r="QRQ33" s="551"/>
      <c r="QRR33" s="551"/>
      <c r="QRS33" s="551"/>
      <c r="QRT33" s="551"/>
      <c r="QRU33" s="551"/>
      <c r="QRV33" s="551"/>
      <c r="QRW33" s="551"/>
      <c r="QRX33" s="551"/>
      <c r="QRY33" s="551"/>
      <c r="QRZ33" s="551"/>
      <c r="QSA33" s="551"/>
      <c r="QSB33" s="551"/>
      <c r="QSC33" s="551"/>
      <c r="QSD33" s="551"/>
      <c r="QSE33" s="551"/>
      <c r="QSF33" s="551"/>
      <c r="QSG33" s="551"/>
      <c r="QSH33" s="551"/>
      <c r="QSI33" s="551"/>
      <c r="QSJ33" s="551"/>
      <c r="QSK33" s="551"/>
      <c r="QSL33" s="551"/>
      <c r="QSM33" s="551"/>
      <c r="QSN33" s="551"/>
      <c r="QSO33" s="551"/>
      <c r="QSP33" s="551"/>
      <c r="QSQ33" s="551"/>
      <c r="QSR33" s="551"/>
      <c r="QSS33" s="551"/>
      <c r="QST33" s="551"/>
      <c r="QSU33" s="551"/>
      <c r="QSV33" s="551"/>
      <c r="QSW33" s="551"/>
      <c r="QSX33" s="551"/>
      <c r="QSY33" s="551"/>
      <c r="QSZ33" s="551"/>
      <c r="QTA33" s="551"/>
      <c r="QTB33" s="551"/>
      <c r="QTC33" s="551"/>
      <c r="QTD33" s="551"/>
      <c r="QTE33" s="551"/>
      <c r="QTF33" s="551"/>
      <c r="QTG33" s="551"/>
      <c r="QTH33" s="551"/>
      <c r="QTI33" s="551"/>
      <c r="QTJ33" s="551"/>
      <c r="QTK33" s="551"/>
      <c r="QTL33" s="551"/>
      <c r="QTM33" s="551"/>
      <c r="QTN33" s="551"/>
      <c r="QTO33" s="551"/>
      <c r="QTP33" s="551"/>
      <c r="QTQ33" s="551"/>
      <c r="QTR33" s="551"/>
      <c r="QTS33" s="551"/>
      <c r="QTT33" s="551"/>
      <c r="QTU33" s="551"/>
      <c r="QTV33" s="551"/>
      <c r="QTW33" s="551"/>
      <c r="QTX33" s="551"/>
      <c r="QTY33" s="551"/>
      <c r="QTZ33" s="551"/>
      <c r="QUA33" s="551"/>
      <c r="QUB33" s="551"/>
      <c r="QUC33" s="551"/>
      <c r="QUD33" s="551"/>
      <c r="QUE33" s="551"/>
      <c r="QUF33" s="551"/>
      <c r="QUG33" s="551"/>
      <c r="QUH33" s="551"/>
      <c r="QUI33" s="551"/>
      <c r="QUJ33" s="551"/>
      <c r="QUK33" s="551"/>
      <c r="QUL33" s="551"/>
      <c r="QUM33" s="551"/>
      <c r="QUN33" s="551"/>
      <c r="QUO33" s="551"/>
      <c r="QUP33" s="551"/>
      <c r="QUQ33" s="551"/>
      <c r="QUR33" s="551"/>
      <c r="QUS33" s="551"/>
      <c r="QUT33" s="551"/>
      <c r="QUU33" s="551"/>
      <c r="QUV33" s="551"/>
      <c r="QUW33" s="551"/>
      <c r="QUX33" s="551"/>
      <c r="QUY33" s="551"/>
      <c r="QUZ33" s="551"/>
      <c r="QVA33" s="551"/>
      <c r="QVB33" s="551"/>
      <c r="QVC33" s="551"/>
      <c r="QVD33" s="551"/>
      <c r="QVE33" s="551"/>
      <c r="QVF33" s="551"/>
      <c r="QVG33" s="551"/>
      <c r="QVH33" s="551"/>
      <c r="QVI33" s="551"/>
      <c r="QVJ33" s="551"/>
      <c r="QVK33" s="551"/>
      <c r="QVL33" s="551"/>
      <c r="QVM33" s="551"/>
      <c r="QVN33" s="551"/>
      <c r="QVO33" s="551"/>
      <c r="QVP33" s="551"/>
      <c r="QVQ33" s="551"/>
      <c r="QVR33" s="551"/>
      <c r="QVS33" s="551"/>
      <c r="QVT33" s="551"/>
      <c r="QVU33" s="551"/>
      <c r="QVV33" s="551"/>
      <c r="QVW33" s="551"/>
      <c r="QVX33" s="551"/>
      <c r="QVY33" s="551"/>
      <c r="QVZ33" s="551"/>
      <c r="QWA33" s="551"/>
      <c r="QWB33" s="551"/>
      <c r="QWC33" s="551"/>
      <c r="QWD33" s="551"/>
      <c r="QWE33" s="551"/>
      <c r="QWF33" s="551"/>
      <c r="QWG33" s="551"/>
      <c r="QWH33" s="551"/>
      <c r="QWI33" s="551"/>
      <c r="QWJ33" s="551"/>
      <c r="QWK33" s="551"/>
      <c r="QWL33" s="551"/>
      <c r="QWM33" s="551"/>
      <c r="QWN33" s="551"/>
      <c r="QWO33" s="551"/>
      <c r="QWP33" s="551"/>
      <c r="QWQ33" s="551"/>
      <c r="QWR33" s="551"/>
      <c r="QWS33" s="551"/>
      <c r="QWT33" s="551"/>
      <c r="QWU33" s="551"/>
      <c r="QWV33" s="551"/>
      <c r="QWW33" s="551"/>
      <c r="QWX33" s="551"/>
      <c r="QWY33" s="551"/>
      <c r="QWZ33" s="551"/>
      <c r="QXA33" s="551"/>
      <c r="QXB33" s="551"/>
      <c r="QXC33" s="551"/>
      <c r="QXD33" s="551"/>
      <c r="QXE33" s="551"/>
      <c r="QXF33" s="551"/>
      <c r="QXG33" s="551"/>
      <c r="QXH33" s="551"/>
      <c r="QXI33" s="551"/>
      <c r="QXJ33" s="551"/>
      <c r="QXK33" s="551"/>
      <c r="QXL33" s="551"/>
      <c r="QXM33" s="551"/>
      <c r="QXN33" s="551"/>
      <c r="QXO33" s="551"/>
      <c r="QXP33" s="551"/>
      <c r="QXQ33" s="551"/>
      <c r="QXR33" s="551"/>
      <c r="QXS33" s="551"/>
      <c r="QXT33" s="551"/>
      <c r="QXU33" s="551"/>
      <c r="QXV33" s="551"/>
      <c r="QXW33" s="551"/>
      <c r="QXX33" s="551"/>
      <c r="QXY33" s="551"/>
      <c r="QXZ33" s="551"/>
      <c r="QYA33" s="551"/>
      <c r="QYB33" s="551"/>
      <c r="QYC33" s="551"/>
      <c r="QYD33" s="551"/>
      <c r="QYE33" s="551"/>
      <c r="QYF33" s="551"/>
      <c r="QYG33" s="551"/>
      <c r="QYH33" s="551"/>
      <c r="QYI33" s="551"/>
      <c r="QYJ33" s="551"/>
      <c r="QYK33" s="551"/>
      <c r="QYL33" s="551"/>
      <c r="QYM33" s="551"/>
      <c r="QYN33" s="551"/>
      <c r="QYO33" s="551"/>
      <c r="QYP33" s="551"/>
      <c r="QYQ33" s="551"/>
      <c r="QYR33" s="551"/>
      <c r="QYS33" s="551"/>
      <c r="QYT33" s="551"/>
      <c r="QYU33" s="551"/>
      <c r="QYV33" s="551"/>
      <c r="QYW33" s="551"/>
      <c r="QYX33" s="551"/>
      <c r="QYY33" s="551"/>
      <c r="QYZ33" s="551"/>
      <c r="QZA33" s="551"/>
      <c r="QZB33" s="551"/>
      <c r="QZC33" s="551"/>
      <c r="QZD33" s="551"/>
      <c r="QZE33" s="551"/>
      <c r="QZF33" s="551"/>
      <c r="QZG33" s="551"/>
      <c r="QZH33" s="551"/>
      <c r="QZI33" s="551"/>
      <c r="QZJ33" s="551"/>
      <c r="QZK33" s="551"/>
      <c r="QZL33" s="551"/>
      <c r="QZM33" s="551"/>
      <c r="QZN33" s="551"/>
      <c r="QZO33" s="551"/>
      <c r="QZP33" s="551"/>
      <c r="QZQ33" s="551"/>
      <c r="QZR33" s="551"/>
      <c r="QZS33" s="551"/>
      <c r="QZT33" s="551"/>
      <c r="QZU33" s="551"/>
      <c r="QZV33" s="551"/>
      <c r="QZW33" s="551"/>
      <c r="QZX33" s="551"/>
      <c r="QZY33" s="551"/>
      <c r="QZZ33" s="551"/>
      <c r="RAA33" s="551"/>
      <c r="RAB33" s="551"/>
      <c r="RAC33" s="551"/>
      <c r="RAD33" s="551"/>
      <c r="RAE33" s="551"/>
      <c r="RAF33" s="551"/>
      <c r="RAG33" s="551"/>
      <c r="RAH33" s="551"/>
      <c r="RAI33" s="551"/>
      <c r="RAJ33" s="551"/>
      <c r="RAK33" s="551"/>
      <c r="RAL33" s="551"/>
      <c r="RAM33" s="551"/>
      <c r="RAN33" s="551"/>
      <c r="RAO33" s="551"/>
      <c r="RAP33" s="551"/>
      <c r="RAQ33" s="551"/>
      <c r="RAR33" s="551"/>
      <c r="RAS33" s="551"/>
      <c r="RAT33" s="551"/>
      <c r="RAU33" s="551"/>
      <c r="RAV33" s="551"/>
      <c r="RAW33" s="551"/>
      <c r="RAX33" s="551"/>
      <c r="RAY33" s="551"/>
      <c r="RAZ33" s="551"/>
      <c r="RBA33" s="551"/>
      <c r="RBB33" s="551"/>
      <c r="RBC33" s="551"/>
      <c r="RBD33" s="551"/>
      <c r="RBE33" s="551"/>
      <c r="RBF33" s="551"/>
      <c r="RBG33" s="551"/>
      <c r="RBH33" s="551"/>
      <c r="RBI33" s="551"/>
      <c r="RBJ33" s="551"/>
      <c r="RBK33" s="551"/>
      <c r="RBL33" s="551"/>
      <c r="RBM33" s="551"/>
      <c r="RBN33" s="551"/>
      <c r="RBO33" s="551"/>
      <c r="RBP33" s="551"/>
      <c r="RBQ33" s="551"/>
      <c r="RBR33" s="551"/>
      <c r="RBS33" s="551"/>
      <c r="RBT33" s="551"/>
      <c r="RBU33" s="551"/>
      <c r="RBV33" s="551"/>
      <c r="RBW33" s="551"/>
      <c r="RBX33" s="551"/>
      <c r="RBY33" s="551"/>
      <c r="RBZ33" s="551"/>
      <c r="RCA33" s="551"/>
      <c r="RCB33" s="551"/>
      <c r="RCC33" s="551"/>
      <c r="RCD33" s="551"/>
      <c r="RCE33" s="551"/>
      <c r="RCF33" s="551"/>
      <c r="RCG33" s="551"/>
      <c r="RCH33" s="551"/>
      <c r="RCI33" s="551"/>
      <c r="RCJ33" s="551"/>
      <c r="RCK33" s="551"/>
      <c r="RCL33" s="551"/>
      <c r="RCM33" s="551"/>
      <c r="RCN33" s="551"/>
      <c r="RCO33" s="551"/>
      <c r="RCP33" s="551"/>
      <c r="RCQ33" s="551"/>
      <c r="RCR33" s="551"/>
      <c r="RCS33" s="551"/>
      <c r="RCT33" s="551"/>
      <c r="RCU33" s="551"/>
      <c r="RCV33" s="551"/>
      <c r="RCW33" s="551"/>
      <c r="RCX33" s="551"/>
      <c r="RCY33" s="551"/>
      <c r="RCZ33" s="551"/>
      <c r="RDA33" s="551"/>
      <c r="RDB33" s="551"/>
      <c r="RDC33" s="551"/>
      <c r="RDD33" s="551"/>
      <c r="RDE33" s="551"/>
      <c r="RDF33" s="551"/>
      <c r="RDG33" s="551"/>
      <c r="RDH33" s="551"/>
      <c r="RDI33" s="551"/>
      <c r="RDJ33" s="551"/>
      <c r="RDK33" s="551"/>
      <c r="RDL33" s="551"/>
      <c r="RDM33" s="551"/>
      <c r="RDN33" s="551"/>
      <c r="RDO33" s="551"/>
      <c r="RDP33" s="551"/>
      <c r="RDQ33" s="551"/>
      <c r="RDR33" s="551"/>
      <c r="RDS33" s="551"/>
      <c r="RDT33" s="551"/>
      <c r="RDU33" s="551"/>
      <c r="RDV33" s="551"/>
      <c r="RDW33" s="551"/>
      <c r="RDX33" s="551"/>
      <c r="RDY33" s="551"/>
      <c r="RDZ33" s="551"/>
      <c r="REA33" s="551"/>
      <c r="REB33" s="551"/>
      <c r="REC33" s="551"/>
      <c r="RED33" s="551"/>
      <c r="REE33" s="551"/>
      <c r="REF33" s="551"/>
      <c r="REG33" s="551"/>
      <c r="REH33" s="551"/>
      <c r="REI33" s="551"/>
      <c r="REJ33" s="551"/>
      <c r="REK33" s="551"/>
      <c r="REL33" s="551"/>
      <c r="REM33" s="551"/>
      <c r="REN33" s="551"/>
      <c r="REO33" s="551"/>
      <c r="REP33" s="551"/>
      <c r="REQ33" s="551"/>
      <c r="RER33" s="551"/>
      <c r="RES33" s="551"/>
      <c r="RET33" s="551"/>
      <c r="REU33" s="551"/>
      <c r="REV33" s="551"/>
      <c r="REW33" s="551"/>
      <c r="REX33" s="551"/>
      <c r="REY33" s="551"/>
      <c r="REZ33" s="551"/>
      <c r="RFA33" s="551"/>
      <c r="RFB33" s="551"/>
      <c r="RFC33" s="551"/>
      <c r="RFD33" s="551"/>
      <c r="RFE33" s="551"/>
      <c r="RFF33" s="551"/>
      <c r="RFG33" s="551"/>
      <c r="RFH33" s="551"/>
      <c r="RFI33" s="551"/>
      <c r="RFJ33" s="551"/>
      <c r="RFK33" s="551"/>
      <c r="RFL33" s="551"/>
      <c r="RFM33" s="551"/>
      <c r="RFN33" s="551"/>
      <c r="RFO33" s="551"/>
      <c r="RFP33" s="551"/>
      <c r="RFQ33" s="551"/>
      <c r="RFR33" s="551"/>
      <c r="RFS33" s="551"/>
      <c r="RFT33" s="551"/>
      <c r="RFU33" s="551"/>
      <c r="RFV33" s="551"/>
      <c r="RFW33" s="551"/>
      <c r="RFX33" s="551"/>
      <c r="RFY33" s="551"/>
      <c r="RFZ33" s="551"/>
      <c r="RGA33" s="551"/>
      <c r="RGB33" s="551"/>
      <c r="RGC33" s="551"/>
      <c r="RGD33" s="551"/>
      <c r="RGE33" s="551"/>
      <c r="RGF33" s="551"/>
      <c r="RGG33" s="551"/>
      <c r="RGH33" s="551"/>
      <c r="RGI33" s="551"/>
      <c r="RGJ33" s="551"/>
      <c r="RGK33" s="551"/>
      <c r="RGL33" s="551"/>
      <c r="RGM33" s="551"/>
      <c r="RGN33" s="551"/>
      <c r="RGO33" s="551"/>
      <c r="RGP33" s="551"/>
      <c r="RGQ33" s="551"/>
      <c r="RGR33" s="551"/>
      <c r="RGS33" s="551"/>
      <c r="RGT33" s="551"/>
      <c r="RGU33" s="551"/>
      <c r="RGV33" s="551"/>
      <c r="RGW33" s="551"/>
      <c r="RGX33" s="551"/>
      <c r="RGY33" s="551"/>
      <c r="RGZ33" s="551"/>
      <c r="RHA33" s="551"/>
      <c r="RHB33" s="551"/>
      <c r="RHC33" s="551"/>
      <c r="RHD33" s="551"/>
      <c r="RHE33" s="551"/>
      <c r="RHF33" s="551"/>
      <c r="RHG33" s="551"/>
      <c r="RHH33" s="551"/>
      <c r="RHI33" s="551"/>
      <c r="RHJ33" s="551"/>
      <c r="RHK33" s="551"/>
      <c r="RHL33" s="551"/>
      <c r="RHM33" s="551"/>
      <c r="RHN33" s="551"/>
      <c r="RHO33" s="551"/>
      <c r="RHP33" s="551"/>
      <c r="RHQ33" s="551"/>
      <c r="RHR33" s="551"/>
      <c r="RHS33" s="551"/>
      <c r="RHT33" s="551"/>
      <c r="RHU33" s="551"/>
      <c r="RHV33" s="551"/>
      <c r="RHW33" s="551"/>
      <c r="RHX33" s="551"/>
      <c r="RHY33" s="551"/>
      <c r="RHZ33" s="551"/>
      <c r="RIA33" s="551"/>
      <c r="RIB33" s="551"/>
      <c r="RIC33" s="551"/>
      <c r="RID33" s="551"/>
      <c r="RIE33" s="551"/>
      <c r="RIF33" s="551"/>
      <c r="RIG33" s="551"/>
      <c r="RIH33" s="551"/>
      <c r="RII33" s="551"/>
      <c r="RIJ33" s="551"/>
      <c r="RIK33" s="551"/>
      <c r="RIL33" s="551"/>
      <c r="RIM33" s="551"/>
      <c r="RIN33" s="551"/>
      <c r="RIO33" s="551"/>
      <c r="RIP33" s="551"/>
      <c r="RIQ33" s="551"/>
      <c r="RIR33" s="551"/>
      <c r="RIS33" s="551"/>
      <c r="RIT33" s="551"/>
      <c r="RIU33" s="551"/>
      <c r="RIV33" s="551"/>
      <c r="RIW33" s="551"/>
      <c r="RIX33" s="551"/>
      <c r="RIY33" s="551"/>
      <c r="RIZ33" s="551"/>
      <c r="RJA33" s="551"/>
      <c r="RJB33" s="551"/>
      <c r="RJC33" s="551"/>
      <c r="RJD33" s="551"/>
      <c r="RJE33" s="551"/>
      <c r="RJF33" s="551"/>
      <c r="RJG33" s="551"/>
      <c r="RJH33" s="551"/>
      <c r="RJI33" s="551"/>
      <c r="RJJ33" s="551"/>
      <c r="RJK33" s="551"/>
      <c r="RJL33" s="551"/>
      <c r="RJM33" s="551"/>
      <c r="RJN33" s="551"/>
      <c r="RJO33" s="551"/>
      <c r="RJP33" s="551"/>
      <c r="RJQ33" s="551"/>
      <c r="RJR33" s="551"/>
      <c r="RJS33" s="551"/>
      <c r="RJT33" s="551"/>
      <c r="RJU33" s="551"/>
      <c r="RJV33" s="551"/>
      <c r="RJW33" s="551"/>
      <c r="RJX33" s="551"/>
      <c r="RJY33" s="551"/>
      <c r="RJZ33" s="551"/>
      <c r="RKA33" s="551"/>
      <c r="RKB33" s="551"/>
      <c r="RKC33" s="551"/>
      <c r="RKD33" s="551"/>
      <c r="RKE33" s="551"/>
      <c r="RKF33" s="551"/>
      <c r="RKG33" s="551"/>
      <c r="RKH33" s="551"/>
      <c r="RKI33" s="551"/>
      <c r="RKJ33" s="551"/>
      <c r="RKK33" s="551"/>
      <c r="RKL33" s="551"/>
      <c r="RKM33" s="551"/>
      <c r="RKN33" s="551"/>
      <c r="RKO33" s="551"/>
      <c r="RKP33" s="551"/>
      <c r="RKQ33" s="551"/>
      <c r="RKR33" s="551"/>
      <c r="RKS33" s="551"/>
      <c r="RKT33" s="551"/>
      <c r="RKU33" s="551"/>
      <c r="RKV33" s="551"/>
      <c r="RKW33" s="551"/>
      <c r="RKX33" s="551"/>
      <c r="RKY33" s="551"/>
      <c r="RKZ33" s="551"/>
      <c r="RLA33" s="551"/>
      <c r="RLB33" s="551"/>
      <c r="RLC33" s="551"/>
      <c r="RLD33" s="551"/>
      <c r="RLE33" s="551"/>
      <c r="RLF33" s="551"/>
      <c r="RLG33" s="551"/>
      <c r="RLH33" s="551"/>
      <c r="RLI33" s="551"/>
      <c r="RLJ33" s="551"/>
      <c r="RLK33" s="551"/>
      <c r="RLL33" s="551"/>
      <c r="RLM33" s="551"/>
      <c r="RLN33" s="551"/>
      <c r="RLO33" s="551"/>
      <c r="RLP33" s="551"/>
      <c r="RLQ33" s="551"/>
      <c r="RLR33" s="551"/>
      <c r="RLS33" s="551"/>
      <c r="RLT33" s="551"/>
      <c r="RLU33" s="551"/>
      <c r="RLV33" s="551"/>
      <c r="RLW33" s="551"/>
      <c r="RLX33" s="551"/>
      <c r="RLY33" s="551"/>
      <c r="RLZ33" s="551"/>
      <c r="RMA33" s="551"/>
      <c r="RMB33" s="551"/>
      <c r="RMC33" s="551"/>
      <c r="RMD33" s="551"/>
      <c r="RME33" s="551"/>
      <c r="RMF33" s="551"/>
      <c r="RMG33" s="551"/>
      <c r="RMH33" s="551"/>
      <c r="RMI33" s="551"/>
      <c r="RMJ33" s="551"/>
      <c r="RMK33" s="551"/>
      <c r="RML33" s="551"/>
      <c r="RMM33" s="551"/>
      <c r="RMN33" s="551"/>
      <c r="RMO33" s="551"/>
      <c r="RMP33" s="551"/>
      <c r="RMQ33" s="551"/>
      <c r="RMR33" s="551"/>
      <c r="RMS33" s="551"/>
      <c r="RMT33" s="551"/>
      <c r="RMU33" s="551"/>
      <c r="RMV33" s="551"/>
      <c r="RMW33" s="551"/>
      <c r="RMX33" s="551"/>
      <c r="RMY33" s="551"/>
      <c r="RMZ33" s="551"/>
      <c r="RNA33" s="551"/>
      <c r="RNB33" s="551"/>
      <c r="RNC33" s="551"/>
      <c r="RND33" s="551"/>
      <c r="RNE33" s="551"/>
      <c r="RNF33" s="551"/>
      <c r="RNG33" s="551"/>
      <c r="RNH33" s="551"/>
      <c r="RNI33" s="551"/>
      <c r="RNJ33" s="551"/>
      <c r="RNK33" s="551"/>
      <c r="RNL33" s="551"/>
      <c r="RNM33" s="551"/>
      <c r="RNN33" s="551"/>
      <c r="RNO33" s="551"/>
      <c r="RNP33" s="551"/>
      <c r="RNQ33" s="551"/>
      <c r="RNR33" s="551"/>
      <c r="RNS33" s="551"/>
      <c r="RNT33" s="551"/>
      <c r="RNU33" s="551"/>
      <c r="RNV33" s="551"/>
      <c r="RNW33" s="551"/>
      <c r="RNX33" s="551"/>
      <c r="RNY33" s="551"/>
      <c r="RNZ33" s="551"/>
      <c r="ROA33" s="551"/>
      <c r="ROB33" s="551"/>
      <c r="ROC33" s="551"/>
      <c r="ROD33" s="551"/>
      <c r="ROE33" s="551"/>
      <c r="ROF33" s="551"/>
      <c r="ROG33" s="551"/>
      <c r="ROH33" s="551"/>
      <c r="ROI33" s="551"/>
      <c r="ROJ33" s="551"/>
      <c r="ROK33" s="551"/>
      <c r="ROL33" s="551"/>
      <c r="ROM33" s="551"/>
      <c r="RON33" s="551"/>
      <c r="ROO33" s="551"/>
      <c r="ROP33" s="551"/>
      <c r="ROQ33" s="551"/>
      <c r="ROR33" s="551"/>
      <c r="ROS33" s="551"/>
      <c r="ROT33" s="551"/>
      <c r="ROU33" s="551"/>
      <c r="ROV33" s="551"/>
      <c r="ROW33" s="551"/>
      <c r="ROX33" s="551"/>
      <c r="ROY33" s="551"/>
      <c r="ROZ33" s="551"/>
      <c r="RPA33" s="551"/>
      <c r="RPB33" s="551"/>
      <c r="RPC33" s="551"/>
      <c r="RPD33" s="551"/>
      <c r="RPE33" s="551"/>
      <c r="RPF33" s="551"/>
      <c r="RPG33" s="551"/>
      <c r="RPH33" s="551"/>
      <c r="RPI33" s="551"/>
      <c r="RPJ33" s="551"/>
      <c r="RPK33" s="551"/>
      <c r="RPL33" s="551"/>
      <c r="RPM33" s="551"/>
      <c r="RPN33" s="551"/>
      <c r="RPO33" s="551"/>
      <c r="RPP33" s="551"/>
      <c r="RPQ33" s="551"/>
      <c r="RPR33" s="551"/>
      <c r="RPS33" s="551"/>
      <c r="RPT33" s="551"/>
      <c r="RPU33" s="551"/>
      <c r="RPV33" s="551"/>
      <c r="RPW33" s="551"/>
      <c r="RPX33" s="551"/>
      <c r="RPY33" s="551"/>
      <c r="RPZ33" s="551"/>
      <c r="RQA33" s="551"/>
      <c r="RQB33" s="551"/>
      <c r="RQC33" s="551"/>
      <c r="RQD33" s="551"/>
      <c r="RQE33" s="551"/>
      <c r="RQF33" s="551"/>
      <c r="RQG33" s="551"/>
      <c r="RQH33" s="551"/>
      <c r="RQI33" s="551"/>
      <c r="RQJ33" s="551"/>
      <c r="RQK33" s="551"/>
      <c r="RQL33" s="551"/>
      <c r="RQM33" s="551"/>
      <c r="RQN33" s="551"/>
      <c r="RQO33" s="551"/>
      <c r="RQP33" s="551"/>
      <c r="RQQ33" s="551"/>
      <c r="RQR33" s="551"/>
      <c r="RQS33" s="551"/>
      <c r="RQT33" s="551"/>
      <c r="RQU33" s="551"/>
      <c r="RQV33" s="551"/>
      <c r="RQW33" s="551"/>
      <c r="RQX33" s="551"/>
      <c r="RQY33" s="551"/>
      <c r="RQZ33" s="551"/>
      <c r="RRA33" s="551"/>
      <c r="RRB33" s="551"/>
      <c r="RRC33" s="551"/>
      <c r="RRD33" s="551"/>
      <c r="RRE33" s="551"/>
      <c r="RRF33" s="551"/>
      <c r="RRG33" s="551"/>
      <c r="RRH33" s="551"/>
      <c r="RRI33" s="551"/>
      <c r="RRJ33" s="551"/>
      <c r="RRK33" s="551"/>
      <c r="RRL33" s="551"/>
      <c r="RRM33" s="551"/>
      <c r="RRN33" s="551"/>
      <c r="RRO33" s="551"/>
      <c r="RRP33" s="551"/>
      <c r="RRQ33" s="551"/>
      <c r="RRR33" s="551"/>
      <c r="RRS33" s="551"/>
      <c r="RRT33" s="551"/>
      <c r="RRU33" s="551"/>
      <c r="RRV33" s="551"/>
      <c r="RRW33" s="551"/>
      <c r="RRX33" s="551"/>
      <c r="RRY33" s="551"/>
      <c r="RRZ33" s="551"/>
      <c r="RSA33" s="551"/>
      <c r="RSB33" s="551"/>
      <c r="RSC33" s="551"/>
      <c r="RSD33" s="551"/>
      <c r="RSE33" s="551"/>
      <c r="RSF33" s="551"/>
      <c r="RSG33" s="551"/>
      <c r="RSH33" s="551"/>
      <c r="RSI33" s="551"/>
      <c r="RSJ33" s="551"/>
      <c r="RSK33" s="551"/>
      <c r="RSL33" s="551"/>
      <c r="RSM33" s="551"/>
      <c r="RSN33" s="551"/>
      <c r="RSO33" s="551"/>
      <c r="RSP33" s="551"/>
      <c r="RSQ33" s="551"/>
      <c r="RSR33" s="551"/>
      <c r="RSS33" s="551"/>
      <c r="RST33" s="551"/>
      <c r="RSU33" s="551"/>
      <c r="RSV33" s="551"/>
      <c r="RSW33" s="551"/>
      <c r="RSX33" s="551"/>
      <c r="RSY33" s="551"/>
      <c r="RSZ33" s="551"/>
      <c r="RTA33" s="551"/>
      <c r="RTB33" s="551"/>
      <c r="RTC33" s="551"/>
      <c r="RTD33" s="551"/>
      <c r="RTE33" s="551"/>
      <c r="RTF33" s="551"/>
      <c r="RTG33" s="551"/>
      <c r="RTH33" s="551"/>
      <c r="RTI33" s="551"/>
      <c r="RTJ33" s="551"/>
      <c r="RTK33" s="551"/>
      <c r="RTL33" s="551"/>
      <c r="RTM33" s="551"/>
      <c r="RTN33" s="551"/>
      <c r="RTO33" s="551"/>
      <c r="RTP33" s="551"/>
      <c r="RTQ33" s="551"/>
      <c r="RTR33" s="551"/>
      <c r="RTS33" s="551"/>
      <c r="RTT33" s="551"/>
      <c r="RTU33" s="551"/>
      <c r="RTV33" s="551"/>
      <c r="RTW33" s="551"/>
      <c r="RTX33" s="551"/>
      <c r="RTY33" s="551"/>
      <c r="RTZ33" s="551"/>
      <c r="RUA33" s="551"/>
      <c r="RUB33" s="551"/>
      <c r="RUC33" s="551"/>
      <c r="RUD33" s="551"/>
      <c r="RUE33" s="551"/>
      <c r="RUF33" s="551"/>
      <c r="RUG33" s="551"/>
      <c r="RUH33" s="551"/>
      <c r="RUI33" s="551"/>
      <c r="RUJ33" s="551"/>
      <c r="RUK33" s="551"/>
      <c r="RUL33" s="551"/>
      <c r="RUM33" s="551"/>
      <c r="RUN33" s="551"/>
      <c r="RUO33" s="551"/>
      <c r="RUP33" s="551"/>
      <c r="RUQ33" s="551"/>
      <c r="RUR33" s="551"/>
      <c r="RUS33" s="551"/>
      <c r="RUT33" s="551"/>
      <c r="RUU33" s="551"/>
      <c r="RUV33" s="551"/>
      <c r="RUW33" s="551"/>
      <c r="RUX33" s="551"/>
      <c r="RUY33" s="551"/>
      <c r="RUZ33" s="551"/>
      <c r="RVA33" s="551"/>
      <c r="RVB33" s="551"/>
      <c r="RVC33" s="551"/>
      <c r="RVD33" s="551"/>
      <c r="RVE33" s="551"/>
      <c r="RVF33" s="551"/>
      <c r="RVG33" s="551"/>
      <c r="RVH33" s="551"/>
      <c r="RVI33" s="551"/>
      <c r="RVJ33" s="551"/>
      <c r="RVK33" s="551"/>
      <c r="RVL33" s="551"/>
      <c r="RVM33" s="551"/>
      <c r="RVN33" s="551"/>
      <c r="RVO33" s="551"/>
      <c r="RVP33" s="551"/>
      <c r="RVQ33" s="551"/>
      <c r="RVR33" s="551"/>
      <c r="RVS33" s="551"/>
      <c r="RVT33" s="551"/>
      <c r="RVU33" s="551"/>
      <c r="RVV33" s="551"/>
      <c r="RVW33" s="551"/>
      <c r="RVX33" s="551"/>
      <c r="RVY33" s="551"/>
      <c r="RVZ33" s="551"/>
      <c r="RWA33" s="551"/>
      <c r="RWB33" s="551"/>
      <c r="RWC33" s="551"/>
      <c r="RWD33" s="551"/>
      <c r="RWE33" s="551"/>
      <c r="RWF33" s="551"/>
      <c r="RWG33" s="551"/>
      <c r="RWH33" s="551"/>
      <c r="RWI33" s="551"/>
      <c r="RWJ33" s="551"/>
      <c r="RWK33" s="551"/>
      <c r="RWL33" s="551"/>
      <c r="RWM33" s="551"/>
      <c r="RWN33" s="551"/>
      <c r="RWO33" s="551"/>
      <c r="RWP33" s="551"/>
      <c r="RWQ33" s="551"/>
      <c r="RWR33" s="551"/>
      <c r="RWS33" s="551"/>
      <c r="RWT33" s="551"/>
      <c r="RWU33" s="551"/>
      <c r="RWV33" s="551"/>
      <c r="RWW33" s="551"/>
      <c r="RWX33" s="551"/>
      <c r="RWY33" s="551"/>
      <c r="RWZ33" s="551"/>
      <c r="RXA33" s="551"/>
      <c r="RXB33" s="551"/>
      <c r="RXC33" s="551"/>
      <c r="RXD33" s="551"/>
      <c r="RXE33" s="551"/>
      <c r="RXF33" s="551"/>
      <c r="RXG33" s="551"/>
      <c r="RXH33" s="551"/>
      <c r="RXI33" s="551"/>
      <c r="RXJ33" s="551"/>
      <c r="RXK33" s="551"/>
      <c r="RXL33" s="551"/>
      <c r="RXM33" s="551"/>
      <c r="RXN33" s="551"/>
      <c r="RXO33" s="551"/>
      <c r="RXP33" s="551"/>
      <c r="RXQ33" s="551"/>
      <c r="RXR33" s="551"/>
      <c r="RXS33" s="551"/>
      <c r="RXT33" s="551"/>
      <c r="RXU33" s="551"/>
      <c r="RXV33" s="551"/>
      <c r="RXW33" s="551"/>
      <c r="RXX33" s="551"/>
      <c r="RXY33" s="551"/>
      <c r="RXZ33" s="551"/>
      <c r="RYA33" s="551"/>
      <c r="RYB33" s="551"/>
      <c r="RYC33" s="551"/>
      <c r="RYD33" s="551"/>
      <c r="RYE33" s="551"/>
      <c r="RYF33" s="551"/>
      <c r="RYG33" s="551"/>
      <c r="RYH33" s="551"/>
      <c r="RYI33" s="551"/>
      <c r="RYJ33" s="551"/>
      <c r="RYK33" s="551"/>
      <c r="RYL33" s="551"/>
      <c r="RYM33" s="551"/>
      <c r="RYN33" s="551"/>
      <c r="RYO33" s="551"/>
      <c r="RYP33" s="551"/>
      <c r="RYQ33" s="551"/>
      <c r="RYR33" s="551"/>
      <c r="RYS33" s="551"/>
      <c r="RYT33" s="551"/>
      <c r="RYU33" s="551"/>
      <c r="RYV33" s="551"/>
      <c r="RYW33" s="551"/>
      <c r="RYX33" s="551"/>
      <c r="RYY33" s="551"/>
      <c r="RYZ33" s="551"/>
      <c r="RZA33" s="551"/>
      <c r="RZB33" s="551"/>
      <c r="RZC33" s="551"/>
      <c r="RZD33" s="551"/>
      <c r="RZE33" s="551"/>
      <c r="RZF33" s="551"/>
      <c r="RZG33" s="551"/>
      <c r="RZH33" s="551"/>
      <c r="RZI33" s="551"/>
      <c r="RZJ33" s="551"/>
      <c r="RZK33" s="551"/>
      <c r="RZL33" s="551"/>
      <c r="RZM33" s="551"/>
      <c r="RZN33" s="551"/>
      <c r="RZO33" s="551"/>
      <c r="RZP33" s="551"/>
      <c r="RZQ33" s="551"/>
      <c r="RZR33" s="551"/>
      <c r="RZS33" s="551"/>
      <c r="RZT33" s="551"/>
      <c r="RZU33" s="551"/>
      <c r="RZV33" s="551"/>
      <c r="RZW33" s="551"/>
      <c r="RZX33" s="551"/>
      <c r="RZY33" s="551"/>
      <c r="RZZ33" s="551"/>
      <c r="SAA33" s="551"/>
      <c r="SAB33" s="551"/>
      <c r="SAC33" s="551"/>
      <c r="SAD33" s="551"/>
      <c r="SAE33" s="551"/>
      <c r="SAF33" s="551"/>
      <c r="SAG33" s="551"/>
      <c r="SAH33" s="551"/>
      <c r="SAI33" s="551"/>
      <c r="SAJ33" s="551"/>
      <c r="SAK33" s="551"/>
      <c r="SAL33" s="551"/>
      <c r="SAM33" s="551"/>
      <c r="SAN33" s="551"/>
      <c r="SAO33" s="551"/>
      <c r="SAP33" s="551"/>
      <c r="SAQ33" s="551"/>
      <c r="SAR33" s="551"/>
      <c r="SAS33" s="551"/>
      <c r="SAT33" s="551"/>
      <c r="SAU33" s="551"/>
      <c r="SAV33" s="551"/>
      <c r="SAW33" s="551"/>
      <c r="SAX33" s="551"/>
      <c r="SAY33" s="551"/>
      <c r="SAZ33" s="551"/>
      <c r="SBA33" s="551"/>
      <c r="SBB33" s="551"/>
      <c r="SBC33" s="551"/>
      <c r="SBD33" s="551"/>
      <c r="SBE33" s="551"/>
      <c r="SBF33" s="551"/>
      <c r="SBG33" s="551"/>
      <c r="SBH33" s="551"/>
      <c r="SBI33" s="551"/>
      <c r="SBJ33" s="551"/>
      <c r="SBK33" s="551"/>
      <c r="SBL33" s="551"/>
      <c r="SBM33" s="551"/>
      <c r="SBN33" s="551"/>
      <c r="SBO33" s="551"/>
      <c r="SBP33" s="551"/>
      <c r="SBQ33" s="551"/>
      <c r="SBR33" s="551"/>
      <c r="SBS33" s="551"/>
      <c r="SBT33" s="551"/>
      <c r="SBU33" s="551"/>
      <c r="SBV33" s="551"/>
      <c r="SBW33" s="551"/>
      <c r="SBX33" s="551"/>
      <c r="SBY33" s="551"/>
      <c r="SBZ33" s="551"/>
      <c r="SCA33" s="551"/>
      <c r="SCB33" s="551"/>
      <c r="SCC33" s="551"/>
      <c r="SCD33" s="551"/>
      <c r="SCE33" s="551"/>
      <c r="SCF33" s="551"/>
      <c r="SCG33" s="551"/>
      <c r="SCH33" s="551"/>
      <c r="SCI33" s="551"/>
      <c r="SCJ33" s="551"/>
      <c r="SCK33" s="551"/>
      <c r="SCL33" s="551"/>
      <c r="SCM33" s="551"/>
      <c r="SCN33" s="551"/>
      <c r="SCO33" s="551"/>
      <c r="SCP33" s="551"/>
      <c r="SCQ33" s="551"/>
      <c r="SCR33" s="551"/>
      <c r="SCS33" s="551"/>
      <c r="SCT33" s="551"/>
      <c r="SCU33" s="551"/>
      <c r="SCV33" s="551"/>
      <c r="SCW33" s="551"/>
      <c r="SCX33" s="551"/>
      <c r="SCY33" s="551"/>
      <c r="SCZ33" s="551"/>
      <c r="SDA33" s="551"/>
      <c r="SDB33" s="551"/>
      <c r="SDC33" s="551"/>
      <c r="SDD33" s="551"/>
      <c r="SDE33" s="551"/>
      <c r="SDF33" s="551"/>
      <c r="SDG33" s="551"/>
      <c r="SDH33" s="551"/>
      <c r="SDI33" s="551"/>
      <c r="SDJ33" s="551"/>
      <c r="SDK33" s="551"/>
      <c r="SDL33" s="551"/>
      <c r="SDM33" s="551"/>
      <c r="SDN33" s="551"/>
      <c r="SDO33" s="551"/>
      <c r="SDP33" s="551"/>
      <c r="SDQ33" s="551"/>
      <c r="SDR33" s="551"/>
      <c r="SDS33" s="551"/>
      <c r="SDT33" s="551"/>
      <c r="SDU33" s="551"/>
      <c r="SDV33" s="551"/>
      <c r="SDW33" s="551"/>
      <c r="SDX33" s="551"/>
      <c r="SDY33" s="551"/>
      <c r="SDZ33" s="551"/>
      <c r="SEA33" s="551"/>
      <c r="SEB33" s="551"/>
      <c r="SEC33" s="551"/>
      <c r="SED33" s="551"/>
      <c r="SEE33" s="551"/>
      <c r="SEF33" s="551"/>
      <c r="SEG33" s="551"/>
      <c r="SEH33" s="551"/>
      <c r="SEI33" s="551"/>
      <c r="SEJ33" s="551"/>
      <c r="SEK33" s="551"/>
      <c r="SEL33" s="551"/>
      <c r="SEM33" s="551"/>
      <c r="SEN33" s="551"/>
      <c r="SEO33" s="551"/>
      <c r="SEP33" s="551"/>
      <c r="SEQ33" s="551"/>
      <c r="SER33" s="551"/>
      <c r="SES33" s="551"/>
      <c r="SET33" s="551"/>
      <c r="SEU33" s="551"/>
      <c r="SEV33" s="551"/>
      <c r="SEW33" s="551"/>
      <c r="SEX33" s="551"/>
      <c r="SEY33" s="551"/>
      <c r="SEZ33" s="551"/>
      <c r="SFA33" s="551"/>
      <c r="SFB33" s="551"/>
      <c r="SFC33" s="551"/>
      <c r="SFD33" s="551"/>
      <c r="SFE33" s="551"/>
      <c r="SFF33" s="551"/>
      <c r="SFG33" s="551"/>
      <c r="SFH33" s="551"/>
      <c r="SFI33" s="551"/>
      <c r="SFJ33" s="551"/>
      <c r="SFK33" s="551"/>
      <c r="SFL33" s="551"/>
      <c r="SFM33" s="551"/>
      <c r="SFN33" s="551"/>
      <c r="SFO33" s="551"/>
      <c r="SFP33" s="551"/>
      <c r="SFQ33" s="551"/>
      <c r="SFR33" s="551"/>
      <c r="SFS33" s="551"/>
      <c r="SFT33" s="551"/>
      <c r="SFU33" s="551"/>
      <c r="SFV33" s="551"/>
      <c r="SFW33" s="551"/>
      <c r="SFX33" s="551"/>
      <c r="SFY33" s="551"/>
      <c r="SFZ33" s="551"/>
      <c r="SGA33" s="551"/>
      <c r="SGB33" s="551"/>
      <c r="SGC33" s="551"/>
      <c r="SGD33" s="551"/>
      <c r="SGE33" s="551"/>
      <c r="SGF33" s="551"/>
      <c r="SGG33" s="551"/>
      <c r="SGH33" s="551"/>
      <c r="SGI33" s="551"/>
      <c r="SGJ33" s="551"/>
      <c r="SGK33" s="551"/>
      <c r="SGL33" s="551"/>
      <c r="SGM33" s="551"/>
      <c r="SGN33" s="551"/>
      <c r="SGO33" s="551"/>
      <c r="SGP33" s="551"/>
      <c r="SGQ33" s="551"/>
      <c r="SGR33" s="551"/>
      <c r="SGS33" s="551"/>
      <c r="SGT33" s="551"/>
      <c r="SGU33" s="551"/>
      <c r="SGV33" s="551"/>
      <c r="SGW33" s="551"/>
      <c r="SGX33" s="551"/>
      <c r="SGY33" s="551"/>
      <c r="SGZ33" s="551"/>
      <c r="SHA33" s="551"/>
      <c r="SHB33" s="551"/>
      <c r="SHC33" s="551"/>
      <c r="SHD33" s="551"/>
      <c r="SHE33" s="551"/>
      <c r="SHF33" s="551"/>
      <c r="SHG33" s="551"/>
      <c r="SHH33" s="551"/>
      <c r="SHI33" s="551"/>
      <c r="SHJ33" s="551"/>
      <c r="SHK33" s="551"/>
      <c r="SHL33" s="551"/>
      <c r="SHM33" s="551"/>
      <c r="SHN33" s="551"/>
      <c r="SHO33" s="551"/>
      <c r="SHP33" s="551"/>
      <c r="SHQ33" s="551"/>
      <c r="SHR33" s="551"/>
      <c r="SHS33" s="551"/>
      <c r="SHT33" s="551"/>
      <c r="SHU33" s="551"/>
      <c r="SHV33" s="551"/>
      <c r="SHW33" s="551"/>
      <c r="SHX33" s="551"/>
      <c r="SHY33" s="551"/>
      <c r="SHZ33" s="551"/>
      <c r="SIA33" s="551"/>
      <c r="SIB33" s="551"/>
      <c r="SIC33" s="551"/>
      <c r="SID33" s="551"/>
      <c r="SIE33" s="551"/>
      <c r="SIF33" s="551"/>
      <c r="SIG33" s="551"/>
      <c r="SIH33" s="551"/>
      <c r="SII33" s="551"/>
      <c r="SIJ33" s="551"/>
      <c r="SIK33" s="551"/>
      <c r="SIL33" s="551"/>
      <c r="SIM33" s="551"/>
      <c r="SIN33" s="551"/>
      <c r="SIO33" s="551"/>
      <c r="SIP33" s="551"/>
      <c r="SIQ33" s="551"/>
      <c r="SIR33" s="551"/>
      <c r="SIS33" s="551"/>
      <c r="SIT33" s="551"/>
      <c r="SIU33" s="551"/>
      <c r="SIV33" s="551"/>
      <c r="SIW33" s="551"/>
      <c r="SIX33" s="551"/>
      <c r="SIY33" s="551"/>
      <c r="SIZ33" s="551"/>
      <c r="SJA33" s="551"/>
      <c r="SJB33" s="551"/>
      <c r="SJC33" s="551"/>
      <c r="SJD33" s="551"/>
      <c r="SJE33" s="551"/>
      <c r="SJF33" s="551"/>
      <c r="SJG33" s="551"/>
      <c r="SJH33" s="551"/>
      <c r="SJI33" s="551"/>
      <c r="SJJ33" s="551"/>
      <c r="SJK33" s="551"/>
      <c r="SJL33" s="551"/>
      <c r="SJM33" s="551"/>
      <c r="SJN33" s="551"/>
      <c r="SJO33" s="551"/>
      <c r="SJP33" s="551"/>
      <c r="SJQ33" s="551"/>
      <c r="SJR33" s="551"/>
      <c r="SJS33" s="551"/>
      <c r="SJT33" s="551"/>
      <c r="SJU33" s="551"/>
      <c r="SJV33" s="551"/>
      <c r="SJW33" s="551"/>
      <c r="SJX33" s="551"/>
      <c r="SJY33" s="551"/>
      <c r="SJZ33" s="551"/>
      <c r="SKA33" s="551"/>
      <c r="SKB33" s="551"/>
      <c r="SKC33" s="551"/>
      <c r="SKD33" s="551"/>
      <c r="SKE33" s="551"/>
      <c r="SKF33" s="551"/>
      <c r="SKG33" s="551"/>
      <c r="SKH33" s="551"/>
      <c r="SKI33" s="551"/>
      <c r="SKJ33" s="551"/>
      <c r="SKK33" s="551"/>
      <c r="SKL33" s="551"/>
      <c r="SKM33" s="551"/>
      <c r="SKN33" s="551"/>
      <c r="SKO33" s="551"/>
      <c r="SKP33" s="551"/>
      <c r="SKQ33" s="551"/>
      <c r="SKR33" s="551"/>
      <c r="SKS33" s="551"/>
      <c r="SKT33" s="551"/>
      <c r="SKU33" s="551"/>
      <c r="SKV33" s="551"/>
      <c r="SKW33" s="551"/>
      <c r="SKX33" s="551"/>
      <c r="SKY33" s="551"/>
      <c r="SKZ33" s="551"/>
      <c r="SLA33" s="551"/>
      <c r="SLB33" s="551"/>
      <c r="SLC33" s="551"/>
      <c r="SLD33" s="551"/>
      <c r="SLE33" s="551"/>
      <c r="SLF33" s="551"/>
      <c r="SLG33" s="551"/>
      <c r="SLH33" s="551"/>
      <c r="SLI33" s="551"/>
      <c r="SLJ33" s="551"/>
      <c r="SLK33" s="551"/>
      <c r="SLL33" s="551"/>
      <c r="SLM33" s="551"/>
      <c r="SLN33" s="551"/>
      <c r="SLO33" s="551"/>
      <c r="SLP33" s="551"/>
      <c r="SLQ33" s="551"/>
      <c r="SLR33" s="551"/>
      <c r="SLS33" s="551"/>
      <c r="SLT33" s="551"/>
      <c r="SLU33" s="551"/>
      <c r="SLV33" s="551"/>
      <c r="SLW33" s="551"/>
      <c r="SLX33" s="551"/>
      <c r="SLY33" s="551"/>
      <c r="SLZ33" s="551"/>
      <c r="SMA33" s="551"/>
      <c r="SMB33" s="551"/>
      <c r="SMC33" s="551"/>
      <c r="SMD33" s="551"/>
      <c r="SME33" s="551"/>
      <c r="SMF33" s="551"/>
      <c r="SMG33" s="551"/>
      <c r="SMH33" s="551"/>
      <c r="SMI33" s="551"/>
      <c r="SMJ33" s="551"/>
      <c r="SMK33" s="551"/>
      <c r="SML33" s="551"/>
      <c r="SMM33" s="551"/>
      <c r="SMN33" s="551"/>
      <c r="SMO33" s="551"/>
      <c r="SMP33" s="551"/>
      <c r="SMQ33" s="551"/>
      <c r="SMR33" s="551"/>
      <c r="SMS33" s="551"/>
      <c r="SMT33" s="551"/>
      <c r="SMU33" s="551"/>
      <c r="SMV33" s="551"/>
      <c r="SMW33" s="551"/>
      <c r="SMX33" s="551"/>
      <c r="SMY33" s="551"/>
      <c r="SMZ33" s="551"/>
      <c r="SNA33" s="551"/>
      <c r="SNB33" s="551"/>
      <c r="SNC33" s="551"/>
      <c r="SND33" s="551"/>
      <c r="SNE33" s="551"/>
      <c r="SNF33" s="551"/>
      <c r="SNG33" s="551"/>
      <c r="SNH33" s="551"/>
      <c r="SNI33" s="551"/>
      <c r="SNJ33" s="551"/>
      <c r="SNK33" s="551"/>
      <c r="SNL33" s="551"/>
      <c r="SNM33" s="551"/>
      <c r="SNN33" s="551"/>
      <c r="SNO33" s="551"/>
      <c r="SNP33" s="551"/>
      <c r="SNQ33" s="551"/>
      <c r="SNR33" s="551"/>
      <c r="SNS33" s="551"/>
      <c r="SNT33" s="551"/>
      <c r="SNU33" s="551"/>
      <c r="SNV33" s="551"/>
      <c r="SNW33" s="551"/>
      <c r="SNX33" s="551"/>
      <c r="SNY33" s="551"/>
      <c r="SNZ33" s="551"/>
      <c r="SOA33" s="551"/>
      <c r="SOB33" s="551"/>
      <c r="SOC33" s="551"/>
      <c r="SOD33" s="551"/>
      <c r="SOE33" s="551"/>
      <c r="SOF33" s="551"/>
      <c r="SOG33" s="551"/>
      <c r="SOH33" s="551"/>
      <c r="SOI33" s="551"/>
      <c r="SOJ33" s="551"/>
      <c r="SOK33" s="551"/>
      <c r="SOL33" s="551"/>
      <c r="SOM33" s="551"/>
      <c r="SON33" s="551"/>
      <c r="SOO33" s="551"/>
      <c r="SOP33" s="551"/>
      <c r="SOQ33" s="551"/>
      <c r="SOR33" s="551"/>
      <c r="SOS33" s="551"/>
      <c r="SOT33" s="551"/>
      <c r="SOU33" s="551"/>
      <c r="SOV33" s="551"/>
      <c r="SOW33" s="551"/>
      <c r="SOX33" s="551"/>
      <c r="SOY33" s="551"/>
      <c r="SOZ33" s="551"/>
      <c r="SPA33" s="551"/>
      <c r="SPB33" s="551"/>
      <c r="SPC33" s="551"/>
      <c r="SPD33" s="551"/>
      <c r="SPE33" s="551"/>
      <c r="SPF33" s="551"/>
      <c r="SPG33" s="551"/>
      <c r="SPH33" s="551"/>
      <c r="SPI33" s="551"/>
      <c r="SPJ33" s="551"/>
      <c r="SPK33" s="551"/>
      <c r="SPL33" s="551"/>
      <c r="SPM33" s="551"/>
      <c r="SPN33" s="551"/>
      <c r="SPO33" s="551"/>
      <c r="SPP33" s="551"/>
      <c r="SPQ33" s="551"/>
      <c r="SPR33" s="551"/>
      <c r="SPS33" s="551"/>
      <c r="SPT33" s="551"/>
      <c r="SPU33" s="551"/>
      <c r="SPV33" s="551"/>
      <c r="SPW33" s="551"/>
      <c r="SPX33" s="551"/>
      <c r="SPY33" s="551"/>
      <c r="SPZ33" s="551"/>
      <c r="SQA33" s="551"/>
      <c r="SQB33" s="551"/>
      <c r="SQC33" s="551"/>
      <c r="SQD33" s="551"/>
      <c r="SQE33" s="551"/>
      <c r="SQF33" s="551"/>
      <c r="SQG33" s="551"/>
      <c r="SQH33" s="551"/>
      <c r="SQI33" s="551"/>
      <c r="SQJ33" s="551"/>
      <c r="SQK33" s="551"/>
      <c r="SQL33" s="551"/>
      <c r="SQM33" s="551"/>
      <c r="SQN33" s="551"/>
      <c r="SQO33" s="551"/>
      <c r="SQP33" s="551"/>
      <c r="SQQ33" s="551"/>
      <c r="SQR33" s="551"/>
      <c r="SQS33" s="551"/>
      <c r="SQT33" s="551"/>
      <c r="SQU33" s="551"/>
      <c r="SQV33" s="551"/>
      <c r="SQW33" s="551"/>
      <c r="SQX33" s="551"/>
      <c r="SQY33" s="551"/>
      <c r="SQZ33" s="551"/>
      <c r="SRA33" s="551"/>
      <c r="SRB33" s="551"/>
      <c r="SRC33" s="551"/>
      <c r="SRD33" s="551"/>
      <c r="SRE33" s="551"/>
      <c r="SRF33" s="551"/>
      <c r="SRG33" s="551"/>
      <c r="SRH33" s="551"/>
      <c r="SRI33" s="551"/>
      <c r="SRJ33" s="551"/>
      <c r="SRK33" s="551"/>
      <c r="SRL33" s="551"/>
      <c r="SRM33" s="551"/>
      <c r="SRN33" s="551"/>
      <c r="SRO33" s="551"/>
      <c r="SRP33" s="551"/>
      <c r="SRQ33" s="551"/>
      <c r="SRR33" s="551"/>
      <c r="SRS33" s="551"/>
      <c r="SRT33" s="551"/>
      <c r="SRU33" s="551"/>
      <c r="SRV33" s="551"/>
      <c r="SRW33" s="551"/>
      <c r="SRX33" s="551"/>
      <c r="SRY33" s="551"/>
      <c r="SRZ33" s="551"/>
      <c r="SSA33" s="551"/>
      <c r="SSB33" s="551"/>
      <c r="SSC33" s="551"/>
      <c r="SSD33" s="551"/>
      <c r="SSE33" s="551"/>
      <c r="SSF33" s="551"/>
      <c r="SSG33" s="551"/>
      <c r="SSH33" s="551"/>
      <c r="SSI33" s="551"/>
      <c r="SSJ33" s="551"/>
      <c r="SSK33" s="551"/>
      <c r="SSL33" s="551"/>
      <c r="SSM33" s="551"/>
      <c r="SSN33" s="551"/>
      <c r="SSO33" s="551"/>
      <c r="SSP33" s="551"/>
      <c r="SSQ33" s="551"/>
      <c r="SSR33" s="551"/>
      <c r="SSS33" s="551"/>
      <c r="SST33" s="551"/>
      <c r="SSU33" s="551"/>
      <c r="SSV33" s="551"/>
      <c r="SSW33" s="551"/>
      <c r="SSX33" s="551"/>
      <c r="SSY33" s="551"/>
      <c r="SSZ33" s="551"/>
      <c r="STA33" s="551"/>
      <c r="STB33" s="551"/>
      <c r="STC33" s="551"/>
      <c r="STD33" s="551"/>
      <c r="STE33" s="551"/>
      <c r="STF33" s="551"/>
      <c r="STG33" s="551"/>
      <c r="STH33" s="551"/>
      <c r="STI33" s="551"/>
      <c r="STJ33" s="551"/>
      <c r="STK33" s="551"/>
      <c r="STL33" s="551"/>
      <c r="STM33" s="551"/>
      <c r="STN33" s="551"/>
      <c r="STO33" s="551"/>
      <c r="STP33" s="551"/>
      <c r="STQ33" s="551"/>
      <c r="STR33" s="551"/>
      <c r="STS33" s="551"/>
      <c r="STT33" s="551"/>
      <c r="STU33" s="551"/>
      <c r="STV33" s="551"/>
      <c r="STW33" s="551"/>
      <c r="STX33" s="551"/>
      <c r="STY33" s="551"/>
      <c r="STZ33" s="551"/>
      <c r="SUA33" s="551"/>
      <c r="SUB33" s="551"/>
      <c r="SUC33" s="551"/>
      <c r="SUD33" s="551"/>
      <c r="SUE33" s="551"/>
      <c r="SUF33" s="551"/>
      <c r="SUG33" s="551"/>
      <c r="SUH33" s="551"/>
      <c r="SUI33" s="551"/>
      <c r="SUJ33" s="551"/>
      <c r="SUK33" s="551"/>
      <c r="SUL33" s="551"/>
      <c r="SUM33" s="551"/>
      <c r="SUN33" s="551"/>
      <c r="SUO33" s="551"/>
      <c r="SUP33" s="551"/>
      <c r="SUQ33" s="551"/>
      <c r="SUR33" s="551"/>
      <c r="SUS33" s="551"/>
      <c r="SUT33" s="551"/>
      <c r="SUU33" s="551"/>
      <c r="SUV33" s="551"/>
      <c r="SUW33" s="551"/>
      <c r="SUX33" s="551"/>
      <c r="SUY33" s="551"/>
      <c r="SUZ33" s="551"/>
      <c r="SVA33" s="551"/>
      <c r="SVB33" s="551"/>
      <c r="SVC33" s="551"/>
      <c r="SVD33" s="551"/>
      <c r="SVE33" s="551"/>
      <c r="SVF33" s="551"/>
      <c r="SVG33" s="551"/>
      <c r="SVH33" s="551"/>
      <c r="SVI33" s="551"/>
      <c r="SVJ33" s="551"/>
      <c r="SVK33" s="551"/>
      <c r="SVL33" s="551"/>
      <c r="SVM33" s="551"/>
      <c r="SVN33" s="551"/>
      <c r="SVO33" s="551"/>
      <c r="SVP33" s="551"/>
      <c r="SVQ33" s="551"/>
      <c r="SVR33" s="551"/>
      <c r="SVS33" s="551"/>
      <c r="SVT33" s="551"/>
      <c r="SVU33" s="551"/>
      <c r="SVV33" s="551"/>
      <c r="SVW33" s="551"/>
      <c r="SVX33" s="551"/>
      <c r="SVY33" s="551"/>
      <c r="SVZ33" s="551"/>
      <c r="SWA33" s="551"/>
      <c r="SWB33" s="551"/>
      <c r="SWC33" s="551"/>
      <c r="SWD33" s="551"/>
      <c r="SWE33" s="551"/>
      <c r="SWF33" s="551"/>
      <c r="SWG33" s="551"/>
      <c r="SWH33" s="551"/>
      <c r="SWI33" s="551"/>
      <c r="SWJ33" s="551"/>
      <c r="SWK33" s="551"/>
      <c r="SWL33" s="551"/>
      <c r="SWM33" s="551"/>
      <c r="SWN33" s="551"/>
      <c r="SWO33" s="551"/>
      <c r="SWP33" s="551"/>
      <c r="SWQ33" s="551"/>
      <c r="SWR33" s="551"/>
      <c r="SWS33" s="551"/>
      <c r="SWT33" s="551"/>
      <c r="SWU33" s="551"/>
      <c r="SWV33" s="551"/>
      <c r="SWW33" s="551"/>
      <c r="SWX33" s="551"/>
      <c r="SWY33" s="551"/>
      <c r="SWZ33" s="551"/>
      <c r="SXA33" s="551"/>
      <c r="SXB33" s="551"/>
      <c r="SXC33" s="551"/>
      <c r="SXD33" s="551"/>
      <c r="SXE33" s="551"/>
      <c r="SXF33" s="551"/>
      <c r="SXG33" s="551"/>
      <c r="SXH33" s="551"/>
      <c r="SXI33" s="551"/>
      <c r="SXJ33" s="551"/>
      <c r="SXK33" s="551"/>
      <c r="SXL33" s="551"/>
      <c r="SXM33" s="551"/>
      <c r="SXN33" s="551"/>
      <c r="SXO33" s="551"/>
      <c r="SXP33" s="551"/>
      <c r="SXQ33" s="551"/>
      <c r="SXR33" s="551"/>
      <c r="SXS33" s="551"/>
      <c r="SXT33" s="551"/>
      <c r="SXU33" s="551"/>
      <c r="SXV33" s="551"/>
      <c r="SXW33" s="551"/>
      <c r="SXX33" s="551"/>
      <c r="SXY33" s="551"/>
      <c r="SXZ33" s="551"/>
      <c r="SYA33" s="551"/>
      <c r="SYB33" s="551"/>
      <c r="SYC33" s="551"/>
      <c r="SYD33" s="551"/>
      <c r="SYE33" s="551"/>
      <c r="SYF33" s="551"/>
      <c r="SYG33" s="551"/>
      <c r="SYH33" s="551"/>
      <c r="SYI33" s="551"/>
      <c r="SYJ33" s="551"/>
      <c r="SYK33" s="551"/>
      <c r="SYL33" s="551"/>
      <c r="SYM33" s="551"/>
      <c r="SYN33" s="551"/>
      <c r="SYO33" s="551"/>
      <c r="SYP33" s="551"/>
      <c r="SYQ33" s="551"/>
      <c r="SYR33" s="551"/>
      <c r="SYS33" s="551"/>
      <c r="SYT33" s="551"/>
      <c r="SYU33" s="551"/>
      <c r="SYV33" s="551"/>
      <c r="SYW33" s="551"/>
      <c r="SYX33" s="551"/>
      <c r="SYY33" s="551"/>
      <c r="SYZ33" s="551"/>
      <c r="SZA33" s="551"/>
      <c r="SZB33" s="551"/>
      <c r="SZC33" s="551"/>
      <c r="SZD33" s="551"/>
      <c r="SZE33" s="551"/>
      <c r="SZF33" s="551"/>
      <c r="SZG33" s="551"/>
      <c r="SZH33" s="551"/>
      <c r="SZI33" s="551"/>
      <c r="SZJ33" s="551"/>
      <c r="SZK33" s="551"/>
      <c r="SZL33" s="551"/>
      <c r="SZM33" s="551"/>
      <c r="SZN33" s="551"/>
      <c r="SZO33" s="551"/>
      <c r="SZP33" s="551"/>
      <c r="SZQ33" s="551"/>
      <c r="SZR33" s="551"/>
      <c r="SZS33" s="551"/>
      <c r="SZT33" s="551"/>
      <c r="SZU33" s="551"/>
      <c r="SZV33" s="551"/>
      <c r="SZW33" s="551"/>
      <c r="SZX33" s="551"/>
      <c r="SZY33" s="551"/>
      <c r="SZZ33" s="551"/>
      <c r="TAA33" s="551"/>
      <c r="TAB33" s="551"/>
      <c r="TAC33" s="551"/>
      <c r="TAD33" s="551"/>
      <c r="TAE33" s="551"/>
      <c r="TAF33" s="551"/>
      <c r="TAG33" s="551"/>
      <c r="TAH33" s="551"/>
      <c r="TAI33" s="551"/>
      <c r="TAJ33" s="551"/>
      <c r="TAK33" s="551"/>
      <c r="TAL33" s="551"/>
      <c r="TAM33" s="551"/>
      <c r="TAN33" s="551"/>
      <c r="TAO33" s="551"/>
      <c r="TAP33" s="551"/>
      <c r="TAQ33" s="551"/>
      <c r="TAR33" s="551"/>
      <c r="TAS33" s="551"/>
      <c r="TAT33" s="551"/>
      <c r="TAU33" s="551"/>
      <c r="TAV33" s="551"/>
      <c r="TAW33" s="551"/>
      <c r="TAX33" s="551"/>
      <c r="TAY33" s="551"/>
      <c r="TAZ33" s="551"/>
      <c r="TBA33" s="551"/>
      <c r="TBB33" s="551"/>
      <c r="TBC33" s="551"/>
      <c r="TBD33" s="551"/>
      <c r="TBE33" s="551"/>
      <c r="TBF33" s="551"/>
      <c r="TBG33" s="551"/>
      <c r="TBH33" s="551"/>
      <c r="TBI33" s="551"/>
      <c r="TBJ33" s="551"/>
      <c r="TBK33" s="551"/>
      <c r="TBL33" s="551"/>
      <c r="TBM33" s="551"/>
      <c r="TBN33" s="551"/>
      <c r="TBO33" s="551"/>
      <c r="TBP33" s="551"/>
      <c r="TBQ33" s="551"/>
      <c r="TBR33" s="551"/>
      <c r="TBS33" s="551"/>
      <c r="TBT33" s="551"/>
      <c r="TBU33" s="551"/>
      <c r="TBV33" s="551"/>
      <c r="TBW33" s="551"/>
      <c r="TBX33" s="551"/>
      <c r="TBY33" s="551"/>
      <c r="TBZ33" s="551"/>
      <c r="TCA33" s="551"/>
      <c r="TCB33" s="551"/>
      <c r="TCC33" s="551"/>
      <c r="TCD33" s="551"/>
      <c r="TCE33" s="551"/>
      <c r="TCF33" s="551"/>
      <c r="TCG33" s="551"/>
      <c r="TCH33" s="551"/>
      <c r="TCI33" s="551"/>
      <c r="TCJ33" s="551"/>
      <c r="TCK33" s="551"/>
      <c r="TCL33" s="551"/>
      <c r="TCM33" s="551"/>
      <c r="TCN33" s="551"/>
      <c r="TCO33" s="551"/>
      <c r="TCP33" s="551"/>
      <c r="TCQ33" s="551"/>
      <c r="TCR33" s="551"/>
      <c r="TCS33" s="551"/>
      <c r="TCT33" s="551"/>
      <c r="TCU33" s="551"/>
      <c r="TCV33" s="551"/>
      <c r="TCW33" s="551"/>
      <c r="TCX33" s="551"/>
      <c r="TCY33" s="551"/>
      <c r="TCZ33" s="551"/>
      <c r="TDA33" s="551"/>
      <c r="TDB33" s="551"/>
      <c r="TDC33" s="551"/>
      <c r="TDD33" s="551"/>
      <c r="TDE33" s="551"/>
      <c r="TDF33" s="551"/>
      <c r="TDG33" s="551"/>
      <c r="TDH33" s="551"/>
      <c r="TDI33" s="551"/>
      <c r="TDJ33" s="551"/>
      <c r="TDK33" s="551"/>
      <c r="TDL33" s="551"/>
      <c r="TDM33" s="551"/>
      <c r="TDN33" s="551"/>
      <c r="TDO33" s="551"/>
      <c r="TDP33" s="551"/>
      <c r="TDQ33" s="551"/>
      <c r="TDR33" s="551"/>
      <c r="TDS33" s="551"/>
      <c r="TDT33" s="551"/>
      <c r="TDU33" s="551"/>
      <c r="TDV33" s="551"/>
      <c r="TDW33" s="551"/>
      <c r="TDX33" s="551"/>
      <c r="TDY33" s="551"/>
      <c r="TDZ33" s="551"/>
      <c r="TEA33" s="551"/>
      <c r="TEB33" s="551"/>
      <c r="TEC33" s="551"/>
      <c r="TED33" s="551"/>
      <c r="TEE33" s="551"/>
      <c r="TEF33" s="551"/>
      <c r="TEG33" s="551"/>
      <c r="TEH33" s="551"/>
      <c r="TEI33" s="551"/>
      <c r="TEJ33" s="551"/>
      <c r="TEK33" s="551"/>
      <c r="TEL33" s="551"/>
      <c r="TEM33" s="551"/>
      <c r="TEN33" s="551"/>
      <c r="TEO33" s="551"/>
      <c r="TEP33" s="551"/>
      <c r="TEQ33" s="551"/>
      <c r="TER33" s="551"/>
      <c r="TES33" s="551"/>
      <c r="TET33" s="551"/>
      <c r="TEU33" s="551"/>
      <c r="TEV33" s="551"/>
      <c r="TEW33" s="551"/>
      <c r="TEX33" s="551"/>
      <c r="TEY33" s="551"/>
      <c r="TEZ33" s="551"/>
      <c r="TFA33" s="551"/>
      <c r="TFB33" s="551"/>
      <c r="TFC33" s="551"/>
      <c r="TFD33" s="551"/>
      <c r="TFE33" s="551"/>
      <c r="TFF33" s="551"/>
      <c r="TFG33" s="551"/>
      <c r="TFH33" s="551"/>
      <c r="TFI33" s="551"/>
      <c r="TFJ33" s="551"/>
      <c r="TFK33" s="551"/>
      <c r="TFL33" s="551"/>
      <c r="TFM33" s="551"/>
      <c r="TFN33" s="551"/>
      <c r="TFO33" s="551"/>
      <c r="TFP33" s="551"/>
      <c r="TFQ33" s="551"/>
      <c r="TFR33" s="551"/>
      <c r="TFS33" s="551"/>
      <c r="TFT33" s="551"/>
      <c r="TFU33" s="551"/>
      <c r="TFV33" s="551"/>
      <c r="TFW33" s="551"/>
      <c r="TFX33" s="551"/>
      <c r="TFY33" s="551"/>
      <c r="TFZ33" s="551"/>
      <c r="TGA33" s="551"/>
      <c r="TGB33" s="551"/>
      <c r="TGC33" s="551"/>
      <c r="TGD33" s="551"/>
      <c r="TGE33" s="551"/>
      <c r="TGF33" s="551"/>
      <c r="TGG33" s="551"/>
      <c r="TGH33" s="551"/>
      <c r="TGI33" s="551"/>
      <c r="TGJ33" s="551"/>
      <c r="TGK33" s="551"/>
      <c r="TGL33" s="551"/>
      <c r="TGM33" s="551"/>
      <c r="TGN33" s="551"/>
      <c r="TGO33" s="551"/>
      <c r="TGP33" s="551"/>
      <c r="TGQ33" s="551"/>
      <c r="TGR33" s="551"/>
      <c r="TGS33" s="551"/>
      <c r="TGT33" s="551"/>
      <c r="TGU33" s="551"/>
      <c r="TGV33" s="551"/>
      <c r="TGW33" s="551"/>
      <c r="TGX33" s="551"/>
      <c r="TGY33" s="551"/>
      <c r="TGZ33" s="551"/>
      <c r="THA33" s="551"/>
      <c r="THB33" s="551"/>
      <c r="THC33" s="551"/>
      <c r="THD33" s="551"/>
      <c r="THE33" s="551"/>
      <c r="THF33" s="551"/>
      <c r="THG33" s="551"/>
      <c r="THH33" s="551"/>
      <c r="THI33" s="551"/>
      <c r="THJ33" s="551"/>
      <c r="THK33" s="551"/>
      <c r="THL33" s="551"/>
      <c r="THM33" s="551"/>
      <c r="THN33" s="551"/>
      <c r="THO33" s="551"/>
      <c r="THP33" s="551"/>
      <c r="THQ33" s="551"/>
      <c r="THR33" s="551"/>
      <c r="THS33" s="551"/>
      <c r="THT33" s="551"/>
      <c r="THU33" s="551"/>
      <c r="THV33" s="551"/>
      <c r="THW33" s="551"/>
      <c r="THX33" s="551"/>
      <c r="THY33" s="551"/>
      <c r="THZ33" s="551"/>
      <c r="TIA33" s="551"/>
      <c r="TIB33" s="551"/>
      <c r="TIC33" s="551"/>
      <c r="TID33" s="551"/>
      <c r="TIE33" s="551"/>
      <c r="TIF33" s="551"/>
      <c r="TIG33" s="551"/>
      <c r="TIH33" s="551"/>
      <c r="TII33" s="551"/>
      <c r="TIJ33" s="551"/>
      <c r="TIK33" s="551"/>
      <c r="TIL33" s="551"/>
      <c r="TIM33" s="551"/>
      <c r="TIN33" s="551"/>
      <c r="TIO33" s="551"/>
      <c r="TIP33" s="551"/>
      <c r="TIQ33" s="551"/>
      <c r="TIR33" s="551"/>
      <c r="TIS33" s="551"/>
      <c r="TIT33" s="551"/>
      <c r="TIU33" s="551"/>
      <c r="TIV33" s="551"/>
      <c r="TIW33" s="551"/>
      <c r="TIX33" s="551"/>
      <c r="TIY33" s="551"/>
      <c r="TIZ33" s="551"/>
      <c r="TJA33" s="551"/>
      <c r="TJB33" s="551"/>
      <c r="TJC33" s="551"/>
      <c r="TJD33" s="551"/>
      <c r="TJE33" s="551"/>
      <c r="TJF33" s="551"/>
      <c r="TJG33" s="551"/>
      <c r="TJH33" s="551"/>
      <c r="TJI33" s="551"/>
      <c r="TJJ33" s="551"/>
      <c r="TJK33" s="551"/>
      <c r="TJL33" s="551"/>
      <c r="TJM33" s="551"/>
      <c r="TJN33" s="551"/>
      <c r="TJO33" s="551"/>
      <c r="TJP33" s="551"/>
      <c r="TJQ33" s="551"/>
      <c r="TJR33" s="551"/>
      <c r="TJS33" s="551"/>
      <c r="TJT33" s="551"/>
      <c r="TJU33" s="551"/>
      <c r="TJV33" s="551"/>
      <c r="TJW33" s="551"/>
      <c r="TJX33" s="551"/>
      <c r="TJY33" s="551"/>
      <c r="TJZ33" s="551"/>
      <c r="TKA33" s="551"/>
      <c r="TKB33" s="551"/>
      <c r="TKC33" s="551"/>
      <c r="TKD33" s="551"/>
      <c r="TKE33" s="551"/>
      <c r="TKF33" s="551"/>
      <c r="TKG33" s="551"/>
      <c r="TKH33" s="551"/>
      <c r="TKI33" s="551"/>
      <c r="TKJ33" s="551"/>
      <c r="TKK33" s="551"/>
      <c r="TKL33" s="551"/>
      <c r="TKM33" s="551"/>
      <c r="TKN33" s="551"/>
      <c r="TKO33" s="551"/>
      <c r="TKP33" s="551"/>
      <c r="TKQ33" s="551"/>
      <c r="TKR33" s="551"/>
      <c r="TKS33" s="551"/>
      <c r="TKT33" s="551"/>
      <c r="TKU33" s="551"/>
      <c r="TKV33" s="551"/>
      <c r="TKW33" s="551"/>
      <c r="TKX33" s="551"/>
      <c r="TKY33" s="551"/>
      <c r="TKZ33" s="551"/>
      <c r="TLA33" s="551"/>
      <c r="TLB33" s="551"/>
      <c r="TLC33" s="551"/>
      <c r="TLD33" s="551"/>
      <c r="TLE33" s="551"/>
      <c r="TLF33" s="551"/>
      <c r="TLG33" s="551"/>
      <c r="TLH33" s="551"/>
      <c r="TLI33" s="551"/>
      <c r="TLJ33" s="551"/>
      <c r="TLK33" s="551"/>
      <c r="TLL33" s="551"/>
      <c r="TLM33" s="551"/>
      <c r="TLN33" s="551"/>
      <c r="TLO33" s="551"/>
      <c r="TLP33" s="551"/>
      <c r="TLQ33" s="551"/>
      <c r="TLR33" s="551"/>
      <c r="TLS33" s="551"/>
      <c r="TLT33" s="551"/>
      <c r="TLU33" s="551"/>
      <c r="TLV33" s="551"/>
      <c r="TLW33" s="551"/>
      <c r="TLX33" s="551"/>
      <c r="TLY33" s="551"/>
      <c r="TLZ33" s="551"/>
      <c r="TMA33" s="551"/>
      <c r="TMB33" s="551"/>
      <c r="TMC33" s="551"/>
      <c r="TMD33" s="551"/>
      <c r="TME33" s="551"/>
      <c r="TMF33" s="551"/>
      <c r="TMG33" s="551"/>
      <c r="TMH33" s="551"/>
      <c r="TMI33" s="551"/>
      <c r="TMJ33" s="551"/>
      <c r="TMK33" s="551"/>
      <c r="TML33" s="551"/>
      <c r="TMM33" s="551"/>
      <c r="TMN33" s="551"/>
      <c r="TMO33" s="551"/>
      <c r="TMP33" s="551"/>
      <c r="TMQ33" s="551"/>
      <c r="TMR33" s="551"/>
      <c r="TMS33" s="551"/>
      <c r="TMT33" s="551"/>
      <c r="TMU33" s="551"/>
      <c r="TMV33" s="551"/>
      <c r="TMW33" s="551"/>
      <c r="TMX33" s="551"/>
      <c r="TMY33" s="551"/>
      <c r="TMZ33" s="551"/>
      <c r="TNA33" s="551"/>
      <c r="TNB33" s="551"/>
      <c r="TNC33" s="551"/>
      <c r="TND33" s="551"/>
      <c r="TNE33" s="551"/>
      <c r="TNF33" s="551"/>
      <c r="TNG33" s="551"/>
      <c r="TNH33" s="551"/>
      <c r="TNI33" s="551"/>
      <c r="TNJ33" s="551"/>
      <c r="TNK33" s="551"/>
      <c r="TNL33" s="551"/>
      <c r="TNM33" s="551"/>
      <c r="TNN33" s="551"/>
      <c r="TNO33" s="551"/>
      <c r="TNP33" s="551"/>
      <c r="TNQ33" s="551"/>
      <c r="TNR33" s="551"/>
      <c r="TNS33" s="551"/>
      <c r="TNT33" s="551"/>
      <c r="TNU33" s="551"/>
      <c r="TNV33" s="551"/>
      <c r="TNW33" s="551"/>
      <c r="TNX33" s="551"/>
      <c r="TNY33" s="551"/>
      <c r="TNZ33" s="551"/>
      <c r="TOA33" s="551"/>
      <c r="TOB33" s="551"/>
      <c r="TOC33" s="551"/>
      <c r="TOD33" s="551"/>
      <c r="TOE33" s="551"/>
      <c r="TOF33" s="551"/>
      <c r="TOG33" s="551"/>
      <c r="TOH33" s="551"/>
      <c r="TOI33" s="551"/>
      <c r="TOJ33" s="551"/>
      <c r="TOK33" s="551"/>
      <c r="TOL33" s="551"/>
      <c r="TOM33" s="551"/>
      <c r="TON33" s="551"/>
      <c r="TOO33" s="551"/>
      <c r="TOP33" s="551"/>
      <c r="TOQ33" s="551"/>
      <c r="TOR33" s="551"/>
      <c r="TOS33" s="551"/>
      <c r="TOT33" s="551"/>
      <c r="TOU33" s="551"/>
      <c r="TOV33" s="551"/>
      <c r="TOW33" s="551"/>
      <c r="TOX33" s="551"/>
      <c r="TOY33" s="551"/>
      <c r="TOZ33" s="551"/>
      <c r="TPA33" s="551"/>
      <c r="TPB33" s="551"/>
      <c r="TPC33" s="551"/>
      <c r="TPD33" s="551"/>
      <c r="TPE33" s="551"/>
      <c r="TPF33" s="551"/>
      <c r="TPG33" s="551"/>
      <c r="TPH33" s="551"/>
      <c r="TPI33" s="551"/>
      <c r="TPJ33" s="551"/>
      <c r="TPK33" s="551"/>
      <c r="TPL33" s="551"/>
      <c r="TPM33" s="551"/>
      <c r="TPN33" s="551"/>
      <c r="TPO33" s="551"/>
      <c r="TPP33" s="551"/>
      <c r="TPQ33" s="551"/>
      <c r="TPR33" s="551"/>
      <c r="TPS33" s="551"/>
      <c r="TPT33" s="551"/>
      <c r="TPU33" s="551"/>
      <c r="TPV33" s="551"/>
      <c r="TPW33" s="551"/>
      <c r="TPX33" s="551"/>
      <c r="TPY33" s="551"/>
      <c r="TPZ33" s="551"/>
      <c r="TQA33" s="551"/>
      <c r="TQB33" s="551"/>
      <c r="TQC33" s="551"/>
      <c r="TQD33" s="551"/>
      <c r="TQE33" s="551"/>
      <c r="TQF33" s="551"/>
      <c r="TQG33" s="551"/>
      <c r="TQH33" s="551"/>
      <c r="TQI33" s="551"/>
      <c r="TQJ33" s="551"/>
      <c r="TQK33" s="551"/>
      <c r="TQL33" s="551"/>
      <c r="TQM33" s="551"/>
      <c r="TQN33" s="551"/>
      <c r="TQO33" s="551"/>
      <c r="TQP33" s="551"/>
      <c r="TQQ33" s="551"/>
      <c r="TQR33" s="551"/>
      <c r="TQS33" s="551"/>
      <c r="TQT33" s="551"/>
      <c r="TQU33" s="551"/>
      <c r="TQV33" s="551"/>
      <c r="TQW33" s="551"/>
      <c r="TQX33" s="551"/>
      <c r="TQY33" s="551"/>
      <c r="TQZ33" s="551"/>
      <c r="TRA33" s="551"/>
      <c r="TRB33" s="551"/>
      <c r="TRC33" s="551"/>
      <c r="TRD33" s="551"/>
      <c r="TRE33" s="551"/>
      <c r="TRF33" s="551"/>
      <c r="TRG33" s="551"/>
      <c r="TRH33" s="551"/>
      <c r="TRI33" s="551"/>
      <c r="TRJ33" s="551"/>
      <c r="TRK33" s="551"/>
      <c r="TRL33" s="551"/>
      <c r="TRM33" s="551"/>
      <c r="TRN33" s="551"/>
      <c r="TRO33" s="551"/>
      <c r="TRP33" s="551"/>
      <c r="TRQ33" s="551"/>
      <c r="TRR33" s="551"/>
      <c r="TRS33" s="551"/>
      <c r="TRT33" s="551"/>
      <c r="TRU33" s="551"/>
      <c r="TRV33" s="551"/>
      <c r="TRW33" s="551"/>
      <c r="TRX33" s="551"/>
      <c r="TRY33" s="551"/>
      <c r="TRZ33" s="551"/>
      <c r="TSA33" s="551"/>
      <c r="TSB33" s="551"/>
      <c r="TSC33" s="551"/>
      <c r="TSD33" s="551"/>
      <c r="TSE33" s="551"/>
      <c r="TSF33" s="551"/>
      <c r="TSG33" s="551"/>
      <c r="TSH33" s="551"/>
      <c r="TSI33" s="551"/>
      <c r="TSJ33" s="551"/>
      <c r="TSK33" s="551"/>
      <c r="TSL33" s="551"/>
      <c r="TSM33" s="551"/>
      <c r="TSN33" s="551"/>
      <c r="TSO33" s="551"/>
      <c r="TSP33" s="551"/>
      <c r="TSQ33" s="551"/>
      <c r="TSR33" s="551"/>
      <c r="TSS33" s="551"/>
      <c r="TST33" s="551"/>
      <c r="TSU33" s="551"/>
      <c r="TSV33" s="551"/>
      <c r="TSW33" s="551"/>
      <c r="TSX33" s="551"/>
      <c r="TSY33" s="551"/>
      <c r="TSZ33" s="551"/>
      <c r="TTA33" s="551"/>
      <c r="TTB33" s="551"/>
      <c r="TTC33" s="551"/>
      <c r="TTD33" s="551"/>
      <c r="TTE33" s="551"/>
      <c r="TTF33" s="551"/>
      <c r="TTG33" s="551"/>
      <c r="TTH33" s="551"/>
      <c r="TTI33" s="551"/>
      <c r="TTJ33" s="551"/>
      <c r="TTK33" s="551"/>
      <c r="TTL33" s="551"/>
      <c r="TTM33" s="551"/>
      <c r="TTN33" s="551"/>
      <c r="TTO33" s="551"/>
      <c r="TTP33" s="551"/>
      <c r="TTQ33" s="551"/>
      <c r="TTR33" s="551"/>
      <c r="TTS33" s="551"/>
      <c r="TTT33" s="551"/>
      <c r="TTU33" s="551"/>
      <c r="TTV33" s="551"/>
      <c r="TTW33" s="551"/>
      <c r="TTX33" s="551"/>
      <c r="TTY33" s="551"/>
      <c r="TTZ33" s="551"/>
      <c r="TUA33" s="551"/>
      <c r="TUB33" s="551"/>
      <c r="TUC33" s="551"/>
      <c r="TUD33" s="551"/>
      <c r="TUE33" s="551"/>
      <c r="TUF33" s="551"/>
      <c r="TUG33" s="551"/>
      <c r="TUH33" s="551"/>
      <c r="TUI33" s="551"/>
      <c r="TUJ33" s="551"/>
      <c r="TUK33" s="551"/>
      <c r="TUL33" s="551"/>
      <c r="TUM33" s="551"/>
      <c r="TUN33" s="551"/>
      <c r="TUO33" s="551"/>
      <c r="TUP33" s="551"/>
      <c r="TUQ33" s="551"/>
      <c r="TUR33" s="551"/>
      <c r="TUS33" s="551"/>
      <c r="TUT33" s="551"/>
      <c r="TUU33" s="551"/>
      <c r="TUV33" s="551"/>
      <c r="TUW33" s="551"/>
      <c r="TUX33" s="551"/>
      <c r="TUY33" s="551"/>
      <c r="TUZ33" s="551"/>
      <c r="TVA33" s="551"/>
      <c r="TVB33" s="551"/>
      <c r="TVC33" s="551"/>
      <c r="TVD33" s="551"/>
      <c r="TVE33" s="551"/>
      <c r="TVF33" s="551"/>
      <c r="TVG33" s="551"/>
      <c r="TVH33" s="551"/>
      <c r="TVI33" s="551"/>
      <c r="TVJ33" s="551"/>
      <c r="TVK33" s="551"/>
      <c r="TVL33" s="551"/>
      <c r="TVM33" s="551"/>
      <c r="TVN33" s="551"/>
      <c r="TVO33" s="551"/>
      <c r="TVP33" s="551"/>
      <c r="TVQ33" s="551"/>
      <c r="TVR33" s="551"/>
      <c r="TVS33" s="551"/>
      <c r="TVT33" s="551"/>
      <c r="TVU33" s="551"/>
      <c r="TVV33" s="551"/>
      <c r="TVW33" s="551"/>
      <c r="TVX33" s="551"/>
      <c r="TVY33" s="551"/>
      <c r="TVZ33" s="551"/>
      <c r="TWA33" s="551"/>
      <c r="TWB33" s="551"/>
      <c r="TWC33" s="551"/>
      <c r="TWD33" s="551"/>
      <c r="TWE33" s="551"/>
      <c r="TWF33" s="551"/>
      <c r="TWG33" s="551"/>
      <c r="TWH33" s="551"/>
      <c r="TWI33" s="551"/>
      <c r="TWJ33" s="551"/>
      <c r="TWK33" s="551"/>
      <c r="TWL33" s="551"/>
      <c r="TWM33" s="551"/>
      <c r="TWN33" s="551"/>
      <c r="TWO33" s="551"/>
      <c r="TWP33" s="551"/>
      <c r="TWQ33" s="551"/>
      <c r="TWR33" s="551"/>
      <c r="TWS33" s="551"/>
      <c r="TWT33" s="551"/>
      <c r="TWU33" s="551"/>
      <c r="TWV33" s="551"/>
      <c r="TWW33" s="551"/>
      <c r="TWX33" s="551"/>
      <c r="TWY33" s="551"/>
      <c r="TWZ33" s="551"/>
      <c r="TXA33" s="551"/>
      <c r="TXB33" s="551"/>
      <c r="TXC33" s="551"/>
      <c r="TXD33" s="551"/>
      <c r="TXE33" s="551"/>
      <c r="TXF33" s="551"/>
      <c r="TXG33" s="551"/>
      <c r="TXH33" s="551"/>
      <c r="TXI33" s="551"/>
      <c r="TXJ33" s="551"/>
      <c r="TXK33" s="551"/>
      <c r="TXL33" s="551"/>
      <c r="TXM33" s="551"/>
      <c r="TXN33" s="551"/>
      <c r="TXO33" s="551"/>
      <c r="TXP33" s="551"/>
      <c r="TXQ33" s="551"/>
      <c r="TXR33" s="551"/>
      <c r="TXS33" s="551"/>
      <c r="TXT33" s="551"/>
      <c r="TXU33" s="551"/>
      <c r="TXV33" s="551"/>
      <c r="TXW33" s="551"/>
      <c r="TXX33" s="551"/>
      <c r="TXY33" s="551"/>
      <c r="TXZ33" s="551"/>
      <c r="TYA33" s="551"/>
      <c r="TYB33" s="551"/>
      <c r="TYC33" s="551"/>
      <c r="TYD33" s="551"/>
      <c r="TYE33" s="551"/>
      <c r="TYF33" s="551"/>
      <c r="TYG33" s="551"/>
      <c r="TYH33" s="551"/>
      <c r="TYI33" s="551"/>
      <c r="TYJ33" s="551"/>
      <c r="TYK33" s="551"/>
      <c r="TYL33" s="551"/>
      <c r="TYM33" s="551"/>
      <c r="TYN33" s="551"/>
      <c r="TYO33" s="551"/>
      <c r="TYP33" s="551"/>
      <c r="TYQ33" s="551"/>
      <c r="TYR33" s="551"/>
      <c r="TYS33" s="551"/>
      <c r="TYT33" s="551"/>
      <c r="TYU33" s="551"/>
      <c r="TYV33" s="551"/>
      <c r="TYW33" s="551"/>
      <c r="TYX33" s="551"/>
      <c r="TYY33" s="551"/>
      <c r="TYZ33" s="551"/>
      <c r="TZA33" s="551"/>
      <c r="TZB33" s="551"/>
      <c r="TZC33" s="551"/>
      <c r="TZD33" s="551"/>
      <c r="TZE33" s="551"/>
      <c r="TZF33" s="551"/>
      <c r="TZG33" s="551"/>
      <c r="TZH33" s="551"/>
      <c r="TZI33" s="551"/>
      <c r="TZJ33" s="551"/>
      <c r="TZK33" s="551"/>
      <c r="TZL33" s="551"/>
      <c r="TZM33" s="551"/>
      <c r="TZN33" s="551"/>
      <c r="TZO33" s="551"/>
      <c r="TZP33" s="551"/>
      <c r="TZQ33" s="551"/>
      <c r="TZR33" s="551"/>
      <c r="TZS33" s="551"/>
      <c r="TZT33" s="551"/>
      <c r="TZU33" s="551"/>
      <c r="TZV33" s="551"/>
      <c r="TZW33" s="551"/>
      <c r="TZX33" s="551"/>
      <c r="TZY33" s="551"/>
      <c r="TZZ33" s="551"/>
      <c r="UAA33" s="551"/>
      <c r="UAB33" s="551"/>
      <c r="UAC33" s="551"/>
      <c r="UAD33" s="551"/>
      <c r="UAE33" s="551"/>
      <c r="UAF33" s="551"/>
      <c r="UAG33" s="551"/>
      <c r="UAH33" s="551"/>
      <c r="UAI33" s="551"/>
      <c r="UAJ33" s="551"/>
      <c r="UAK33" s="551"/>
      <c r="UAL33" s="551"/>
      <c r="UAM33" s="551"/>
      <c r="UAN33" s="551"/>
      <c r="UAO33" s="551"/>
      <c r="UAP33" s="551"/>
      <c r="UAQ33" s="551"/>
      <c r="UAR33" s="551"/>
      <c r="UAS33" s="551"/>
      <c r="UAT33" s="551"/>
      <c r="UAU33" s="551"/>
      <c r="UAV33" s="551"/>
      <c r="UAW33" s="551"/>
      <c r="UAX33" s="551"/>
      <c r="UAY33" s="551"/>
      <c r="UAZ33" s="551"/>
      <c r="UBA33" s="551"/>
      <c r="UBB33" s="551"/>
      <c r="UBC33" s="551"/>
      <c r="UBD33" s="551"/>
      <c r="UBE33" s="551"/>
      <c r="UBF33" s="551"/>
      <c r="UBG33" s="551"/>
      <c r="UBH33" s="551"/>
      <c r="UBI33" s="551"/>
      <c r="UBJ33" s="551"/>
      <c r="UBK33" s="551"/>
      <c r="UBL33" s="551"/>
      <c r="UBM33" s="551"/>
      <c r="UBN33" s="551"/>
      <c r="UBO33" s="551"/>
      <c r="UBP33" s="551"/>
      <c r="UBQ33" s="551"/>
      <c r="UBR33" s="551"/>
      <c r="UBS33" s="551"/>
      <c r="UBT33" s="551"/>
      <c r="UBU33" s="551"/>
      <c r="UBV33" s="551"/>
      <c r="UBW33" s="551"/>
      <c r="UBX33" s="551"/>
      <c r="UBY33" s="551"/>
      <c r="UBZ33" s="551"/>
      <c r="UCA33" s="551"/>
      <c r="UCB33" s="551"/>
      <c r="UCC33" s="551"/>
      <c r="UCD33" s="551"/>
      <c r="UCE33" s="551"/>
      <c r="UCF33" s="551"/>
      <c r="UCG33" s="551"/>
      <c r="UCH33" s="551"/>
      <c r="UCI33" s="551"/>
      <c r="UCJ33" s="551"/>
      <c r="UCK33" s="551"/>
      <c r="UCL33" s="551"/>
      <c r="UCM33" s="551"/>
      <c r="UCN33" s="551"/>
      <c r="UCO33" s="551"/>
      <c r="UCP33" s="551"/>
      <c r="UCQ33" s="551"/>
      <c r="UCR33" s="551"/>
      <c r="UCS33" s="551"/>
      <c r="UCT33" s="551"/>
      <c r="UCU33" s="551"/>
      <c r="UCV33" s="551"/>
      <c r="UCW33" s="551"/>
      <c r="UCX33" s="551"/>
      <c r="UCY33" s="551"/>
      <c r="UCZ33" s="551"/>
      <c r="UDA33" s="551"/>
      <c r="UDB33" s="551"/>
      <c r="UDC33" s="551"/>
      <c r="UDD33" s="551"/>
      <c r="UDE33" s="551"/>
      <c r="UDF33" s="551"/>
      <c r="UDG33" s="551"/>
      <c r="UDH33" s="551"/>
      <c r="UDI33" s="551"/>
      <c r="UDJ33" s="551"/>
      <c r="UDK33" s="551"/>
      <c r="UDL33" s="551"/>
      <c r="UDM33" s="551"/>
      <c r="UDN33" s="551"/>
      <c r="UDO33" s="551"/>
      <c r="UDP33" s="551"/>
      <c r="UDQ33" s="551"/>
      <c r="UDR33" s="551"/>
      <c r="UDS33" s="551"/>
      <c r="UDT33" s="551"/>
      <c r="UDU33" s="551"/>
      <c r="UDV33" s="551"/>
      <c r="UDW33" s="551"/>
      <c r="UDX33" s="551"/>
      <c r="UDY33" s="551"/>
      <c r="UDZ33" s="551"/>
      <c r="UEA33" s="551"/>
      <c r="UEB33" s="551"/>
      <c r="UEC33" s="551"/>
      <c r="UED33" s="551"/>
      <c r="UEE33" s="551"/>
      <c r="UEF33" s="551"/>
      <c r="UEG33" s="551"/>
      <c r="UEH33" s="551"/>
      <c r="UEI33" s="551"/>
      <c r="UEJ33" s="551"/>
      <c r="UEK33" s="551"/>
      <c r="UEL33" s="551"/>
      <c r="UEM33" s="551"/>
      <c r="UEN33" s="551"/>
      <c r="UEO33" s="551"/>
      <c r="UEP33" s="551"/>
      <c r="UEQ33" s="551"/>
      <c r="UER33" s="551"/>
      <c r="UES33" s="551"/>
      <c r="UET33" s="551"/>
      <c r="UEU33" s="551"/>
      <c r="UEV33" s="551"/>
      <c r="UEW33" s="551"/>
      <c r="UEX33" s="551"/>
      <c r="UEY33" s="551"/>
      <c r="UEZ33" s="551"/>
      <c r="UFA33" s="551"/>
      <c r="UFB33" s="551"/>
      <c r="UFC33" s="551"/>
      <c r="UFD33" s="551"/>
      <c r="UFE33" s="551"/>
      <c r="UFF33" s="551"/>
      <c r="UFG33" s="551"/>
      <c r="UFH33" s="551"/>
      <c r="UFI33" s="551"/>
      <c r="UFJ33" s="551"/>
      <c r="UFK33" s="551"/>
      <c r="UFL33" s="551"/>
      <c r="UFM33" s="551"/>
      <c r="UFN33" s="551"/>
      <c r="UFO33" s="551"/>
      <c r="UFP33" s="551"/>
      <c r="UFQ33" s="551"/>
      <c r="UFR33" s="551"/>
      <c r="UFS33" s="551"/>
      <c r="UFT33" s="551"/>
      <c r="UFU33" s="551"/>
      <c r="UFV33" s="551"/>
      <c r="UFW33" s="551"/>
      <c r="UFX33" s="551"/>
      <c r="UFY33" s="551"/>
      <c r="UFZ33" s="551"/>
      <c r="UGA33" s="551"/>
      <c r="UGB33" s="551"/>
      <c r="UGC33" s="551"/>
      <c r="UGD33" s="551"/>
      <c r="UGE33" s="551"/>
      <c r="UGF33" s="551"/>
      <c r="UGG33" s="551"/>
      <c r="UGH33" s="551"/>
      <c r="UGI33" s="551"/>
      <c r="UGJ33" s="551"/>
      <c r="UGK33" s="551"/>
      <c r="UGL33" s="551"/>
      <c r="UGM33" s="551"/>
      <c r="UGN33" s="551"/>
      <c r="UGO33" s="551"/>
      <c r="UGP33" s="551"/>
      <c r="UGQ33" s="551"/>
      <c r="UGR33" s="551"/>
      <c r="UGS33" s="551"/>
      <c r="UGT33" s="551"/>
      <c r="UGU33" s="551"/>
      <c r="UGV33" s="551"/>
      <c r="UGW33" s="551"/>
      <c r="UGX33" s="551"/>
      <c r="UGY33" s="551"/>
      <c r="UGZ33" s="551"/>
      <c r="UHA33" s="551"/>
      <c r="UHB33" s="551"/>
      <c r="UHC33" s="551"/>
      <c r="UHD33" s="551"/>
      <c r="UHE33" s="551"/>
      <c r="UHF33" s="551"/>
      <c r="UHG33" s="551"/>
      <c r="UHH33" s="551"/>
      <c r="UHI33" s="551"/>
      <c r="UHJ33" s="551"/>
      <c r="UHK33" s="551"/>
      <c r="UHL33" s="551"/>
      <c r="UHM33" s="551"/>
      <c r="UHN33" s="551"/>
      <c r="UHO33" s="551"/>
      <c r="UHP33" s="551"/>
      <c r="UHQ33" s="551"/>
      <c r="UHR33" s="551"/>
      <c r="UHS33" s="551"/>
      <c r="UHT33" s="551"/>
      <c r="UHU33" s="551"/>
      <c r="UHV33" s="551"/>
      <c r="UHW33" s="551"/>
      <c r="UHX33" s="551"/>
      <c r="UHY33" s="551"/>
      <c r="UHZ33" s="551"/>
      <c r="UIA33" s="551"/>
      <c r="UIB33" s="551"/>
      <c r="UIC33" s="551"/>
      <c r="UID33" s="551"/>
      <c r="UIE33" s="551"/>
      <c r="UIF33" s="551"/>
      <c r="UIG33" s="551"/>
      <c r="UIH33" s="551"/>
      <c r="UII33" s="551"/>
      <c r="UIJ33" s="551"/>
      <c r="UIK33" s="551"/>
      <c r="UIL33" s="551"/>
      <c r="UIM33" s="551"/>
      <c r="UIN33" s="551"/>
      <c r="UIO33" s="551"/>
      <c r="UIP33" s="551"/>
      <c r="UIQ33" s="551"/>
      <c r="UIR33" s="551"/>
      <c r="UIS33" s="551"/>
      <c r="UIT33" s="551"/>
      <c r="UIU33" s="551"/>
      <c r="UIV33" s="551"/>
      <c r="UIW33" s="551"/>
      <c r="UIX33" s="551"/>
      <c r="UIY33" s="551"/>
      <c r="UIZ33" s="551"/>
      <c r="UJA33" s="551"/>
      <c r="UJB33" s="551"/>
      <c r="UJC33" s="551"/>
      <c r="UJD33" s="551"/>
      <c r="UJE33" s="551"/>
      <c r="UJF33" s="551"/>
      <c r="UJG33" s="551"/>
      <c r="UJH33" s="551"/>
      <c r="UJI33" s="551"/>
      <c r="UJJ33" s="551"/>
      <c r="UJK33" s="551"/>
      <c r="UJL33" s="551"/>
      <c r="UJM33" s="551"/>
      <c r="UJN33" s="551"/>
      <c r="UJO33" s="551"/>
      <c r="UJP33" s="551"/>
      <c r="UJQ33" s="551"/>
      <c r="UJR33" s="551"/>
      <c r="UJS33" s="551"/>
      <c r="UJT33" s="551"/>
      <c r="UJU33" s="551"/>
      <c r="UJV33" s="551"/>
      <c r="UJW33" s="551"/>
      <c r="UJX33" s="551"/>
      <c r="UJY33" s="551"/>
      <c r="UJZ33" s="551"/>
      <c r="UKA33" s="551"/>
      <c r="UKB33" s="551"/>
      <c r="UKC33" s="551"/>
      <c r="UKD33" s="551"/>
      <c r="UKE33" s="551"/>
      <c r="UKF33" s="551"/>
      <c r="UKG33" s="551"/>
      <c r="UKH33" s="551"/>
      <c r="UKI33" s="551"/>
      <c r="UKJ33" s="551"/>
      <c r="UKK33" s="551"/>
      <c r="UKL33" s="551"/>
      <c r="UKM33" s="551"/>
      <c r="UKN33" s="551"/>
      <c r="UKO33" s="551"/>
      <c r="UKP33" s="551"/>
      <c r="UKQ33" s="551"/>
      <c r="UKR33" s="551"/>
      <c r="UKS33" s="551"/>
      <c r="UKT33" s="551"/>
      <c r="UKU33" s="551"/>
      <c r="UKV33" s="551"/>
      <c r="UKW33" s="551"/>
      <c r="UKX33" s="551"/>
      <c r="UKY33" s="551"/>
      <c r="UKZ33" s="551"/>
      <c r="ULA33" s="551"/>
      <c r="ULB33" s="551"/>
      <c r="ULC33" s="551"/>
      <c r="ULD33" s="551"/>
      <c r="ULE33" s="551"/>
      <c r="ULF33" s="551"/>
      <c r="ULG33" s="551"/>
      <c r="ULH33" s="551"/>
      <c r="ULI33" s="551"/>
      <c r="ULJ33" s="551"/>
      <c r="ULK33" s="551"/>
      <c r="ULL33" s="551"/>
      <c r="ULM33" s="551"/>
      <c r="ULN33" s="551"/>
      <c r="ULO33" s="551"/>
      <c r="ULP33" s="551"/>
      <c r="ULQ33" s="551"/>
      <c r="ULR33" s="551"/>
      <c r="ULS33" s="551"/>
      <c r="ULT33" s="551"/>
      <c r="ULU33" s="551"/>
      <c r="ULV33" s="551"/>
      <c r="ULW33" s="551"/>
      <c r="ULX33" s="551"/>
      <c r="ULY33" s="551"/>
      <c r="ULZ33" s="551"/>
      <c r="UMA33" s="551"/>
      <c r="UMB33" s="551"/>
      <c r="UMC33" s="551"/>
      <c r="UMD33" s="551"/>
      <c r="UME33" s="551"/>
      <c r="UMF33" s="551"/>
      <c r="UMG33" s="551"/>
      <c r="UMH33" s="551"/>
      <c r="UMI33" s="551"/>
      <c r="UMJ33" s="551"/>
      <c r="UMK33" s="551"/>
      <c r="UML33" s="551"/>
      <c r="UMM33" s="551"/>
      <c r="UMN33" s="551"/>
      <c r="UMO33" s="551"/>
      <c r="UMP33" s="551"/>
      <c r="UMQ33" s="551"/>
      <c r="UMR33" s="551"/>
      <c r="UMS33" s="551"/>
      <c r="UMT33" s="551"/>
      <c r="UMU33" s="551"/>
      <c r="UMV33" s="551"/>
      <c r="UMW33" s="551"/>
      <c r="UMX33" s="551"/>
      <c r="UMY33" s="551"/>
      <c r="UMZ33" s="551"/>
      <c r="UNA33" s="551"/>
      <c r="UNB33" s="551"/>
      <c r="UNC33" s="551"/>
      <c r="UND33" s="551"/>
      <c r="UNE33" s="551"/>
      <c r="UNF33" s="551"/>
      <c r="UNG33" s="551"/>
      <c r="UNH33" s="551"/>
      <c r="UNI33" s="551"/>
      <c r="UNJ33" s="551"/>
      <c r="UNK33" s="551"/>
      <c r="UNL33" s="551"/>
      <c r="UNM33" s="551"/>
      <c r="UNN33" s="551"/>
      <c r="UNO33" s="551"/>
      <c r="UNP33" s="551"/>
      <c r="UNQ33" s="551"/>
      <c r="UNR33" s="551"/>
      <c r="UNS33" s="551"/>
      <c r="UNT33" s="551"/>
      <c r="UNU33" s="551"/>
      <c r="UNV33" s="551"/>
      <c r="UNW33" s="551"/>
      <c r="UNX33" s="551"/>
      <c r="UNY33" s="551"/>
      <c r="UNZ33" s="551"/>
      <c r="UOA33" s="551"/>
      <c r="UOB33" s="551"/>
      <c r="UOC33" s="551"/>
      <c r="UOD33" s="551"/>
      <c r="UOE33" s="551"/>
      <c r="UOF33" s="551"/>
      <c r="UOG33" s="551"/>
      <c r="UOH33" s="551"/>
      <c r="UOI33" s="551"/>
      <c r="UOJ33" s="551"/>
      <c r="UOK33" s="551"/>
      <c r="UOL33" s="551"/>
      <c r="UOM33" s="551"/>
      <c r="UON33" s="551"/>
      <c r="UOO33" s="551"/>
      <c r="UOP33" s="551"/>
      <c r="UOQ33" s="551"/>
      <c r="UOR33" s="551"/>
      <c r="UOS33" s="551"/>
      <c r="UOT33" s="551"/>
      <c r="UOU33" s="551"/>
      <c r="UOV33" s="551"/>
      <c r="UOW33" s="551"/>
      <c r="UOX33" s="551"/>
      <c r="UOY33" s="551"/>
      <c r="UOZ33" s="551"/>
      <c r="UPA33" s="551"/>
      <c r="UPB33" s="551"/>
      <c r="UPC33" s="551"/>
      <c r="UPD33" s="551"/>
      <c r="UPE33" s="551"/>
      <c r="UPF33" s="551"/>
      <c r="UPG33" s="551"/>
      <c r="UPH33" s="551"/>
      <c r="UPI33" s="551"/>
      <c r="UPJ33" s="551"/>
      <c r="UPK33" s="551"/>
      <c r="UPL33" s="551"/>
      <c r="UPM33" s="551"/>
      <c r="UPN33" s="551"/>
      <c r="UPO33" s="551"/>
      <c r="UPP33" s="551"/>
      <c r="UPQ33" s="551"/>
      <c r="UPR33" s="551"/>
      <c r="UPS33" s="551"/>
      <c r="UPT33" s="551"/>
      <c r="UPU33" s="551"/>
      <c r="UPV33" s="551"/>
      <c r="UPW33" s="551"/>
      <c r="UPX33" s="551"/>
      <c r="UPY33" s="551"/>
      <c r="UPZ33" s="551"/>
      <c r="UQA33" s="551"/>
      <c r="UQB33" s="551"/>
      <c r="UQC33" s="551"/>
      <c r="UQD33" s="551"/>
      <c r="UQE33" s="551"/>
      <c r="UQF33" s="551"/>
      <c r="UQG33" s="551"/>
      <c r="UQH33" s="551"/>
      <c r="UQI33" s="551"/>
      <c r="UQJ33" s="551"/>
      <c r="UQK33" s="551"/>
      <c r="UQL33" s="551"/>
      <c r="UQM33" s="551"/>
      <c r="UQN33" s="551"/>
      <c r="UQO33" s="551"/>
      <c r="UQP33" s="551"/>
      <c r="UQQ33" s="551"/>
      <c r="UQR33" s="551"/>
      <c r="UQS33" s="551"/>
      <c r="UQT33" s="551"/>
      <c r="UQU33" s="551"/>
      <c r="UQV33" s="551"/>
      <c r="UQW33" s="551"/>
      <c r="UQX33" s="551"/>
      <c r="UQY33" s="551"/>
      <c r="UQZ33" s="551"/>
      <c r="URA33" s="551"/>
      <c r="URB33" s="551"/>
      <c r="URC33" s="551"/>
      <c r="URD33" s="551"/>
      <c r="URE33" s="551"/>
      <c r="URF33" s="551"/>
      <c r="URG33" s="551"/>
      <c r="URH33" s="551"/>
      <c r="URI33" s="551"/>
      <c r="URJ33" s="551"/>
      <c r="URK33" s="551"/>
      <c r="URL33" s="551"/>
      <c r="URM33" s="551"/>
      <c r="URN33" s="551"/>
      <c r="URO33" s="551"/>
      <c r="URP33" s="551"/>
      <c r="URQ33" s="551"/>
      <c r="URR33" s="551"/>
      <c r="URS33" s="551"/>
      <c r="URT33" s="551"/>
      <c r="URU33" s="551"/>
      <c r="URV33" s="551"/>
      <c r="URW33" s="551"/>
      <c r="URX33" s="551"/>
      <c r="URY33" s="551"/>
      <c r="URZ33" s="551"/>
      <c r="USA33" s="551"/>
      <c r="USB33" s="551"/>
      <c r="USC33" s="551"/>
      <c r="USD33" s="551"/>
      <c r="USE33" s="551"/>
      <c r="USF33" s="551"/>
      <c r="USG33" s="551"/>
      <c r="USH33" s="551"/>
      <c r="USI33" s="551"/>
      <c r="USJ33" s="551"/>
      <c r="USK33" s="551"/>
      <c r="USL33" s="551"/>
      <c r="USM33" s="551"/>
      <c r="USN33" s="551"/>
      <c r="USO33" s="551"/>
      <c r="USP33" s="551"/>
      <c r="USQ33" s="551"/>
      <c r="USR33" s="551"/>
      <c r="USS33" s="551"/>
      <c r="UST33" s="551"/>
      <c r="USU33" s="551"/>
      <c r="USV33" s="551"/>
      <c r="USW33" s="551"/>
      <c r="USX33" s="551"/>
      <c r="USY33" s="551"/>
      <c r="USZ33" s="551"/>
      <c r="UTA33" s="551"/>
      <c r="UTB33" s="551"/>
      <c r="UTC33" s="551"/>
      <c r="UTD33" s="551"/>
      <c r="UTE33" s="551"/>
      <c r="UTF33" s="551"/>
      <c r="UTG33" s="551"/>
      <c r="UTH33" s="551"/>
      <c r="UTI33" s="551"/>
      <c r="UTJ33" s="551"/>
      <c r="UTK33" s="551"/>
      <c r="UTL33" s="551"/>
      <c r="UTM33" s="551"/>
      <c r="UTN33" s="551"/>
      <c r="UTO33" s="551"/>
      <c r="UTP33" s="551"/>
      <c r="UTQ33" s="551"/>
      <c r="UTR33" s="551"/>
      <c r="UTS33" s="551"/>
      <c r="UTT33" s="551"/>
      <c r="UTU33" s="551"/>
      <c r="UTV33" s="551"/>
      <c r="UTW33" s="551"/>
      <c r="UTX33" s="551"/>
      <c r="UTY33" s="551"/>
      <c r="UTZ33" s="551"/>
      <c r="UUA33" s="551"/>
      <c r="UUB33" s="551"/>
      <c r="UUC33" s="551"/>
      <c r="UUD33" s="551"/>
      <c r="UUE33" s="551"/>
      <c r="UUF33" s="551"/>
      <c r="UUG33" s="551"/>
      <c r="UUH33" s="551"/>
      <c r="UUI33" s="551"/>
      <c r="UUJ33" s="551"/>
      <c r="UUK33" s="551"/>
      <c r="UUL33" s="551"/>
      <c r="UUM33" s="551"/>
      <c r="UUN33" s="551"/>
      <c r="UUO33" s="551"/>
      <c r="UUP33" s="551"/>
      <c r="UUQ33" s="551"/>
      <c r="UUR33" s="551"/>
      <c r="UUS33" s="551"/>
      <c r="UUT33" s="551"/>
      <c r="UUU33" s="551"/>
      <c r="UUV33" s="551"/>
      <c r="UUW33" s="551"/>
      <c r="UUX33" s="551"/>
      <c r="UUY33" s="551"/>
      <c r="UUZ33" s="551"/>
      <c r="UVA33" s="551"/>
      <c r="UVB33" s="551"/>
      <c r="UVC33" s="551"/>
      <c r="UVD33" s="551"/>
      <c r="UVE33" s="551"/>
      <c r="UVF33" s="551"/>
      <c r="UVG33" s="551"/>
      <c r="UVH33" s="551"/>
      <c r="UVI33" s="551"/>
      <c r="UVJ33" s="551"/>
      <c r="UVK33" s="551"/>
      <c r="UVL33" s="551"/>
      <c r="UVM33" s="551"/>
      <c r="UVN33" s="551"/>
      <c r="UVO33" s="551"/>
      <c r="UVP33" s="551"/>
      <c r="UVQ33" s="551"/>
      <c r="UVR33" s="551"/>
      <c r="UVS33" s="551"/>
      <c r="UVT33" s="551"/>
      <c r="UVU33" s="551"/>
      <c r="UVV33" s="551"/>
      <c r="UVW33" s="551"/>
      <c r="UVX33" s="551"/>
      <c r="UVY33" s="551"/>
      <c r="UVZ33" s="551"/>
      <c r="UWA33" s="551"/>
      <c r="UWB33" s="551"/>
      <c r="UWC33" s="551"/>
      <c r="UWD33" s="551"/>
      <c r="UWE33" s="551"/>
      <c r="UWF33" s="551"/>
      <c r="UWG33" s="551"/>
      <c r="UWH33" s="551"/>
      <c r="UWI33" s="551"/>
      <c r="UWJ33" s="551"/>
      <c r="UWK33" s="551"/>
      <c r="UWL33" s="551"/>
      <c r="UWM33" s="551"/>
      <c r="UWN33" s="551"/>
      <c r="UWO33" s="551"/>
      <c r="UWP33" s="551"/>
      <c r="UWQ33" s="551"/>
      <c r="UWR33" s="551"/>
      <c r="UWS33" s="551"/>
      <c r="UWT33" s="551"/>
      <c r="UWU33" s="551"/>
      <c r="UWV33" s="551"/>
      <c r="UWW33" s="551"/>
      <c r="UWX33" s="551"/>
      <c r="UWY33" s="551"/>
      <c r="UWZ33" s="551"/>
      <c r="UXA33" s="551"/>
      <c r="UXB33" s="551"/>
      <c r="UXC33" s="551"/>
      <c r="UXD33" s="551"/>
      <c r="UXE33" s="551"/>
      <c r="UXF33" s="551"/>
      <c r="UXG33" s="551"/>
      <c r="UXH33" s="551"/>
      <c r="UXI33" s="551"/>
      <c r="UXJ33" s="551"/>
      <c r="UXK33" s="551"/>
      <c r="UXL33" s="551"/>
      <c r="UXM33" s="551"/>
      <c r="UXN33" s="551"/>
      <c r="UXO33" s="551"/>
      <c r="UXP33" s="551"/>
      <c r="UXQ33" s="551"/>
      <c r="UXR33" s="551"/>
      <c r="UXS33" s="551"/>
      <c r="UXT33" s="551"/>
      <c r="UXU33" s="551"/>
      <c r="UXV33" s="551"/>
      <c r="UXW33" s="551"/>
      <c r="UXX33" s="551"/>
      <c r="UXY33" s="551"/>
      <c r="UXZ33" s="551"/>
      <c r="UYA33" s="551"/>
      <c r="UYB33" s="551"/>
      <c r="UYC33" s="551"/>
      <c r="UYD33" s="551"/>
      <c r="UYE33" s="551"/>
      <c r="UYF33" s="551"/>
      <c r="UYG33" s="551"/>
      <c r="UYH33" s="551"/>
      <c r="UYI33" s="551"/>
      <c r="UYJ33" s="551"/>
      <c r="UYK33" s="551"/>
      <c r="UYL33" s="551"/>
      <c r="UYM33" s="551"/>
      <c r="UYN33" s="551"/>
      <c r="UYO33" s="551"/>
      <c r="UYP33" s="551"/>
      <c r="UYQ33" s="551"/>
      <c r="UYR33" s="551"/>
      <c r="UYS33" s="551"/>
      <c r="UYT33" s="551"/>
      <c r="UYU33" s="551"/>
      <c r="UYV33" s="551"/>
      <c r="UYW33" s="551"/>
      <c r="UYX33" s="551"/>
      <c r="UYY33" s="551"/>
      <c r="UYZ33" s="551"/>
      <c r="UZA33" s="551"/>
      <c r="UZB33" s="551"/>
      <c r="UZC33" s="551"/>
      <c r="UZD33" s="551"/>
      <c r="UZE33" s="551"/>
      <c r="UZF33" s="551"/>
      <c r="UZG33" s="551"/>
      <c r="UZH33" s="551"/>
      <c r="UZI33" s="551"/>
      <c r="UZJ33" s="551"/>
      <c r="UZK33" s="551"/>
      <c r="UZL33" s="551"/>
      <c r="UZM33" s="551"/>
      <c r="UZN33" s="551"/>
      <c r="UZO33" s="551"/>
      <c r="UZP33" s="551"/>
      <c r="UZQ33" s="551"/>
      <c r="UZR33" s="551"/>
      <c r="UZS33" s="551"/>
      <c r="UZT33" s="551"/>
      <c r="UZU33" s="551"/>
      <c r="UZV33" s="551"/>
      <c r="UZW33" s="551"/>
      <c r="UZX33" s="551"/>
      <c r="UZY33" s="551"/>
      <c r="UZZ33" s="551"/>
      <c r="VAA33" s="551"/>
      <c r="VAB33" s="551"/>
      <c r="VAC33" s="551"/>
      <c r="VAD33" s="551"/>
      <c r="VAE33" s="551"/>
      <c r="VAF33" s="551"/>
      <c r="VAG33" s="551"/>
      <c r="VAH33" s="551"/>
      <c r="VAI33" s="551"/>
      <c r="VAJ33" s="551"/>
      <c r="VAK33" s="551"/>
      <c r="VAL33" s="551"/>
      <c r="VAM33" s="551"/>
      <c r="VAN33" s="551"/>
      <c r="VAO33" s="551"/>
      <c r="VAP33" s="551"/>
      <c r="VAQ33" s="551"/>
      <c r="VAR33" s="551"/>
      <c r="VAS33" s="551"/>
      <c r="VAT33" s="551"/>
      <c r="VAU33" s="551"/>
      <c r="VAV33" s="551"/>
      <c r="VAW33" s="551"/>
      <c r="VAX33" s="551"/>
      <c r="VAY33" s="551"/>
      <c r="VAZ33" s="551"/>
      <c r="VBA33" s="551"/>
      <c r="VBB33" s="551"/>
      <c r="VBC33" s="551"/>
      <c r="VBD33" s="551"/>
      <c r="VBE33" s="551"/>
      <c r="VBF33" s="551"/>
      <c r="VBG33" s="551"/>
      <c r="VBH33" s="551"/>
      <c r="VBI33" s="551"/>
      <c r="VBJ33" s="551"/>
      <c r="VBK33" s="551"/>
      <c r="VBL33" s="551"/>
      <c r="VBM33" s="551"/>
      <c r="VBN33" s="551"/>
      <c r="VBO33" s="551"/>
      <c r="VBP33" s="551"/>
      <c r="VBQ33" s="551"/>
      <c r="VBR33" s="551"/>
      <c r="VBS33" s="551"/>
      <c r="VBT33" s="551"/>
      <c r="VBU33" s="551"/>
      <c r="VBV33" s="551"/>
      <c r="VBW33" s="551"/>
      <c r="VBX33" s="551"/>
      <c r="VBY33" s="551"/>
      <c r="VBZ33" s="551"/>
      <c r="VCA33" s="551"/>
      <c r="VCB33" s="551"/>
      <c r="VCC33" s="551"/>
      <c r="VCD33" s="551"/>
      <c r="VCE33" s="551"/>
      <c r="VCF33" s="551"/>
      <c r="VCG33" s="551"/>
      <c r="VCH33" s="551"/>
      <c r="VCI33" s="551"/>
      <c r="VCJ33" s="551"/>
      <c r="VCK33" s="551"/>
      <c r="VCL33" s="551"/>
      <c r="VCM33" s="551"/>
      <c r="VCN33" s="551"/>
      <c r="VCO33" s="551"/>
      <c r="VCP33" s="551"/>
      <c r="VCQ33" s="551"/>
      <c r="VCR33" s="551"/>
      <c r="VCS33" s="551"/>
      <c r="VCT33" s="551"/>
      <c r="VCU33" s="551"/>
      <c r="VCV33" s="551"/>
      <c r="VCW33" s="551"/>
      <c r="VCX33" s="551"/>
      <c r="VCY33" s="551"/>
      <c r="VCZ33" s="551"/>
      <c r="VDA33" s="551"/>
      <c r="VDB33" s="551"/>
      <c r="VDC33" s="551"/>
      <c r="VDD33" s="551"/>
      <c r="VDE33" s="551"/>
      <c r="VDF33" s="551"/>
      <c r="VDG33" s="551"/>
      <c r="VDH33" s="551"/>
      <c r="VDI33" s="551"/>
      <c r="VDJ33" s="551"/>
      <c r="VDK33" s="551"/>
      <c r="VDL33" s="551"/>
      <c r="VDM33" s="551"/>
      <c r="VDN33" s="551"/>
      <c r="VDO33" s="551"/>
      <c r="VDP33" s="551"/>
      <c r="VDQ33" s="551"/>
      <c r="VDR33" s="551"/>
      <c r="VDS33" s="551"/>
      <c r="VDT33" s="551"/>
      <c r="VDU33" s="551"/>
      <c r="VDV33" s="551"/>
      <c r="VDW33" s="551"/>
      <c r="VDX33" s="551"/>
      <c r="VDY33" s="551"/>
      <c r="VDZ33" s="551"/>
      <c r="VEA33" s="551"/>
      <c r="VEB33" s="551"/>
      <c r="VEC33" s="551"/>
      <c r="VED33" s="551"/>
      <c r="VEE33" s="551"/>
      <c r="VEF33" s="551"/>
      <c r="VEG33" s="551"/>
      <c r="VEH33" s="551"/>
      <c r="VEI33" s="551"/>
      <c r="VEJ33" s="551"/>
      <c r="VEK33" s="551"/>
      <c r="VEL33" s="551"/>
      <c r="VEM33" s="551"/>
      <c r="VEN33" s="551"/>
      <c r="VEO33" s="551"/>
      <c r="VEP33" s="551"/>
      <c r="VEQ33" s="551"/>
      <c r="VER33" s="551"/>
      <c r="VES33" s="551"/>
      <c r="VET33" s="551"/>
      <c r="VEU33" s="551"/>
      <c r="VEV33" s="551"/>
      <c r="VEW33" s="551"/>
      <c r="VEX33" s="551"/>
      <c r="VEY33" s="551"/>
      <c r="VEZ33" s="551"/>
      <c r="VFA33" s="551"/>
      <c r="VFB33" s="551"/>
      <c r="VFC33" s="551"/>
      <c r="VFD33" s="551"/>
      <c r="VFE33" s="551"/>
      <c r="VFF33" s="551"/>
      <c r="VFG33" s="551"/>
      <c r="VFH33" s="551"/>
      <c r="VFI33" s="551"/>
      <c r="VFJ33" s="551"/>
      <c r="VFK33" s="551"/>
      <c r="VFL33" s="551"/>
      <c r="VFM33" s="551"/>
      <c r="VFN33" s="551"/>
      <c r="VFO33" s="551"/>
      <c r="VFP33" s="551"/>
      <c r="VFQ33" s="551"/>
      <c r="VFR33" s="551"/>
      <c r="VFS33" s="551"/>
      <c r="VFT33" s="551"/>
      <c r="VFU33" s="551"/>
      <c r="VFV33" s="551"/>
      <c r="VFW33" s="551"/>
      <c r="VFX33" s="551"/>
      <c r="VFY33" s="551"/>
      <c r="VFZ33" s="551"/>
      <c r="VGA33" s="551"/>
      <c r="VGB33" s="551"/>
      <c r="VGC33" s="551"/>
      <c r="VGD33" s="551"/>
      <c r="VGE33" s="551"/>
      <c r="VGF33" s="551"/>
      <c r="VGG33" s="551"/>
      <c r="VGH33" s="551"/>
      <c r="VGI33" s="551"/>
      <c r="VGJ33" s="551"/>
      <c r="VGK33" s="551"/>
      <c r="VGL33" s="551"/>
      <c r="VGM33" s="551"/>
      <c r="VGN33" s="551"/>
      <c r="VGO33" s="551"/>
      <c r="VGP33" s="551"/>
      <c r="VGQ33" s="551"/>
      <c r="VGR33" s="551"/>
      <c r="VGS33" s="551"/>
      <c r="VGT33" s="551"/>
      <c r="VGU33" s="551"/>
      <c r="VGV33" s="551"/>
      <c r="VGW33" s="551"/>
      <c r="VGX33" s="551"/>
      <c r="VGY33" s="551"/>
      <c r="VGZ33" s="551"/>
      <c r="VHA33" s="551"/>
      <c r="VHB33" s="551"/>
      <c r="VHC33" s="551"/>
      <c r="VHD33" s="551"/>
      <c r="VHE33" s="551"/>
      <c r="VHF33" s="551"/>
      <c r="VHG33" s="551"/>
      <c r="VHH33" s="551"/>
      <c r="VHI33" s="551"/>
      <c r="VHJ33" s="551"/>
      <c r="VHK33" s="551"/>
      <c r="VHL33" s="551"/>
      <c r="VHM33" s="551"/>
      <c r="VHN33" s="551"/>
      <c r="VHO33" s="551"/>
      <c r="VHP33" s="551"/>
      <c r="VHQ33" s="551"/>
      <c r="VHR33" s="551"/>
      <c r="VHS33" s="551"/>
      <c r="VHT33" s="551"/>
      <c r="VHU33" s="551"/>
      <c r="VHV33" s="551"/>
      <c r="VHW33" s="551"/>
      <c r="VHX33" s="551"/>
      <c r="VHY33" s="551"/>
      <c r="VHZ33" s="551"/>
      <c r="VIA33" s="551"/>
      <c r="VIB33" s="551"/>
      <c r="VIC33" s="551"/>
      <c r="VID33" s="551"/>
      <c r="VIE33" s="551"/>
      <c r="VIF33" s="551"/>
      <c r="VIG33" s="551"/>
      <c r="VIH33" s="551"/>
      <c r="VII33" s="551"/>
      <c r="VIJ33" s="551"/>
      <c r="VIK33" s="551"/>
      <c r="VIL33" s="551"/>
      <c r="VIM33" s="551"/>
      <c r="VIN33" s="551"/>
      <c r="VIO33" s="551"/>
      <c r="VIP33" s="551"/>
      <c r="VIQ33" s="551"/>
      <c r="VIR33" s="551"/>
      <c r="VIS33" s="551"/>
      <c r="VIT33" s="551"/>
      <c r="VIU33" s="551"/>
      <c r="VIV33" s="551"/>
      <c r="VIW33" s="551"/>
      <c r="VIX33" s="551"/>
      <c r="VIY33" s="551"/>
      <c r="VIZ33" s="551"/>
      <c r="VJA33" s="551"/>
      <c r="VJB33" s="551"/>
      <c r="VJC33" s="551"/>
      <c r="VJD33" s="551"/>
      <c r="VJE33" s="551"/>
      <c r="VJF33" s="551"/>
      <c r="VJG33" s="551"/>
      <c r="VJH33" s="551"/>
      <c r="VJI33" s="551"/>
      <c r="VJJ33" s="551"/>
      <c r="VJK33" s="551"/>
      <c r="VJL33" s="551"/>
      <c r="VJM33" s="551"/>
      <c r="VJN33" s="551"/>
      <c r="VJO33" s="551"/>
      <c r="VJP33" s="551"/>
      <c r="VJQ33" s="551"/>
      <c r="VJR33" s="551"/>
      <c r="VJS33" s="551"/>
      <c r="VJT33" s="551"/>
      <c r="VJU33" s="551"/>
      <c r="VJV33" s="551"/>
      <c r="VJW33" s="551"/>
      <c r="VJX33" s="551"/>
      <c r="VJY33" s="551"/>
      <c r="VJZ33" s="551"/>
      <c r="VKA33" s="551"/>
      <c r="VKB33" s="551"/>
      <c r="VKC33" s="551"/>
      <c r="VKD33" s="551"/>
      <c r="VKE33" s="551"/>
      <c r="VKF33" s="551"/>
      <c r="VKG33" s="551"/>
      <c r="VKH33" s="551"/>
      <c r="VKI33" s="551"/>
      <c r="VKJ33" s="551"/>
      <c r="VKK33" s="551"/>
      <c r="VKL33" s="551"/>
      <c r="VKM33" s="551"/>
      <c r="VKN33" s="551"/>
      <c r="VKO33" s="551"/>
      <c r="VKP33" s="551"/>
      <c r="VKQ33" s="551"/>
      <c r="VKR33" s="551"/>
      <c r="VKS33" s="551"/>
      <c r="VKT33" s="551"/>
      <c r="VKU33" s="551"/>
      <c r="VKV33" s="551"/>
      <c r="VKW33" s="551"/>
      <c r="VKX33" s="551"/>
      <c r="VKY33" s="551"/>
      <c r="VKZ33" s="551"/>
      <c r="VLA33" s="551"/>
      <c r="VLB33" s="551"/>
      <c r="VLC33" s="551"/>
      <c r="VLD33" s="551"/>
      <c r="VLE33" s="551"/>
      <c r="VLF33" s="551"/>
      <c r="VLG33" s="551"/>
      <c r="VLH33" s="551"/>
      <c r="VLI33" s="551"/>
      <c r="VLJ33" s="551"/>
      <c r="VLK33" s="551"/>
      <c r="VLL33" s="551"/>
      <c r="VLM33" s="551"/>
      <c r="VLN33" s="551"/>
      <c r="VLO33" s="551"/>
      <c r="VLP33" s="551"/>
      <c r="VLQ33" s="551"/>
      <c r="VLR33" s="551"/>
      <c r="VLS33" s="551"/>
      <c r="VLT33" s="551"/>
      <c r="VLU33" s="551"/>
      <c r="VLV33" s="551"/>
      <c r="VLW33" s="551"/>
      <c r="VLX33" s="551"/>
      <c r="VLY33" s="551"/>
      <c r="VLZ33" s="551"/>
      <c r="VMA33" s="551"/>
      <c r="VMB33" s="551"/>
      <c r="VMC33" s="551"/>
      <c r="VMD33" s="551"/>
      <c r="VME33" s="551"/>
      <c r="VMF33" s="551"/>
      <c r="VMG33" s="551"/>
      <c r="VMH33" s="551"/>
      <c r="VMI33" s="551"/>
      <c r="VMJ33" s="551"/>
      <c r="VMK33" s="551"/>
      <c r="VML33" s="551"/>
      <c r="VMM33" s="551"/>
      <c r="VMN33" s="551"/>
      <c r="VMO33" s="551"/>
      <c r="VMP33" s="551"/>
      <c r="VMQ33" s="551"/>
      <c r="VMR33" s="551"/>
      <c r="VMS33" s="551"/>
      <c r="VMT33" s="551"/>
      <c r="VMU33" s="551"/>
      <c r="VMV33" s="551"/>
      <c r="VMW33" s="551"/>
      <c r="VMX33" s="551"/>
      <c r="VMY33" s="551"/>
      <c r="VMZ33" s="551"/>
      <c r="VNA33" s="551"/>
      <c r="VNB33" s="551"/>
      <c r="VNC33" s="551"/>
      <c r="VND33" s="551"/>
      <c r="VNE33" s="551"/>
      <c r="VNF33" s="551"/>
      <c r="VNG33" s="551"/>
      <c r="VNH33" s="551"/>
      <c r="VNI33" s="551"/>
      <c r="VNJ33" s="551"/>
      <c r="VNK33" s="551"/>
      <c r="VNL33" s="551"/>
      <c r="VNM33" s="551"/>
      <c r="VNN33" s="551"/>
      <c r="VNO33" s="551"/>
      <c r="VNP33" s="551"/>
      <c r="VNQ33" s="551"/>
      <c r="VNR33" s="551"/>
      <c r="VNS33" s="551"/>
      <c r="VNT33" s="551"/>
      <c r="VNU33" s="551"/>
      <c r="VNV33" s="551"/>
      <c r="VNW33" s="551"/>
      <c r="VNX33" s="551"/>
      <c r="VNY33" s="551"/>
      <c r="VNZ33" s="551"/>
      <c r="VOA33" s="551"/>
      <c r="VOB33" s="551"/>
      <c r="VOC33" s="551"/>
      <c r="VOD33" s="551"/>
      <c r="VOE33" s="551"/>
      <c r="VOF33" s="551"/>
      <c r="VOG33" s="551"/>
      <c r="VOH33" s="551"/>
      <c r="VOI33" s="551"/>
      <c r="VOJ33" s="551"/>
      <c r="VOK33" s="551"/>
      <c r="VOL33" s="551"/>
      <c r="VOM33" s="551"/>
      <c r="VON33" s="551"/>
      <c r="VOO33" s="551"/>
      <c r="VOP33" s="551"/>
      <c r="VOQ33" s="551"/>
      <c r="VOR33" s="551"/>
      <c r="VOS33" s="551"/>
      <c r="VOT33" s="551"/>
      <c r="VOU33" s="551"/>
      <c r="VOV33" s="551"/>
      <c r="VOW33" s="551"/>
      <c r="VOX33" s="551"/>
      <c r="VOY33" s="551"/>
      <c r="VOZ33" s="551"/>
      <c r="VPA33" s="551"/>
      <c r="VPB33" s="551"/>
      <c r="VPC33" s="551"/>
      <c r="VPD33" s="551"/>
      <c r="VPE33" s="551"/>
      <c r="VPF33" s="551"/>
      <c r="VPG33" s="551"/>
      <c r="VPH33" s="551"/>
      <c r="VPI33" s="551"/>
      <c r="VPJ33" s="551"/>
      <c r="VPK33" s="551"/>
      <c r="VPL33" s="551"/>
      <c r="VPM33" s="551"/>
      <c r="VPN33" s="551"/>
      <c r="VPO33" s="551"/>
      <c r="VPP33" s="551"/>
      <c r="VPQ33" s="551"/>
      <c r="VPR33" s="551"/>
      <c r="VPS33" s="551"/>
      <c r="VPT33" s="551"/>
      <c r="VPU33" s="551"/>
      <c r="VPV33" s="551"/>
      <c r="VPW33" s="551"/>
      <c r="VPX33" s="551"/>
      <c r="VPY33" s="551"/>
      <c r="VPZ33" s="551"/>
      <c r="VQA33" s="551"/>
      <c r="VQB33" s="551"/>
      <c r="VQC33" s="551"/>
      <c r="VQD33" s="551"/>
      <c r="VQE33" s="551"/>
      <c r="VQF33" s="551"/>
      <c r="VQG33" s="551"/>
      <c r="VQH33" s="551"/>
      <c r="VQI33" s="551"/>
      <c r="VQJ33" s="551"/>
      <c r="VQK33" s="551"/>
      <c r="VQL33" s="551"/>
      <c r="VQM33" s="551"/>
      <c r="VQN33" s="551"/>
      <c r="VQO33" s="551"/>
      <c r="VQP33" s="551"/>
      <c r="VQQ33" s="551"/>
      <c r="VQR33" s="551"/>
      <c r="VQS33" s="551"/>
      <c r="VQT33" s="551"/>
      <c r="VQU33" s="551"/>
      <c r="VQV33" s="551"/>
      <c r="VQW33" s="551"/>
      <c r="VQX33" s="551"/>
      <c r="VQY33" s="551"/>
      <c r="VQZ33" s="551"/>
      <c r="VRA33" s="551"/>
      <c r="VRB33" s="551"/>
      <c r="VRC33" s="551"/>
      <c r="VRD33" s="551"/>
      <c r="VRE33" s="551"/>
      <c r="VRF33" s="551"/>
      <c r="VRG33" s="551"/>
      <c r="VRH33" s="551"/>
      <c r="VRI33" s="551"/>
      <c r="VRJ33" s="551"/>
      <c r="VRK33" s="551"/>
      <c r="VRL33" s="551"/>
      <c r="VRM33" s="551"/>
      <c r="VRN33" s="551"/>
      <c r="VRO33" s="551"/>
      <c r="VRP33" s="551"/>
      <c r="VRQ33" s="551"/>
      <c r="VRR33" s="551"/>
      <c r="VRS33" s="551"/>
      <c r="VRT33" s="551"/>
      <c r="VRU33" s="551"/>
      <c r="VRV33" s="551"/>
      <c r="VRW33" s="551"/>
      <c r="VRX33" s="551"/>
      <c r="VRY33" s="551"/>
      <c r="VRZ33" s="551"/>
      <c r="VSA33" s="551"/>
      <c r="VSB33" s="551"/>
      <c r="VSC33" s="551"/>
      <c r="VSD33" s="551"/>
      <c r="VSE33" s="551"/>
      <c r="VSF33" s="551"/>
      <c r="VSG33" s="551"/>
      <c r="VSH33" s="551"/>
      <c r="VSI33" s="551"/>
      <c r="VSJ33" s="551"/>
      <c r="VSK33" s="551"/>
      <c r="VSL33" s="551"/>
      <c r="VSM33" s="551"/>
      <c r="VSN33" s="551"/>
      <c r="VSO33" s="551"/>
      <c r="VSP33" s="551"/>
      <c r="VSQ33" s="551"/>
      <c r="VSR33" s="551"/>
      <c r="VSS33" s="551"/>
      <c r="VST33" s="551"/>
      <c r="VSU33" s="551"/>
      <c r="VSV33" s="551"/>
      <c r="VSW33" s="551"/>
      <c r="VSX33" s="551"/>
      <c r="VSY33" s="551"/>
      <c r="VSZ33" s="551"/>
      <c r="VTA33" s="551"/>
      <c r="VTB33" s="551"/>
      <c r="VTC33" s="551"/>
      <c r="VTD33" s="551"/>
      <c r="VTE33" s="551"/>
      <c r="VTF33" s="551"/>
      <c r="VTG33" s="551"/>
      <c r="VTH33" s="551"/>
      <c r="VTI33" s="551"/>
      <c r="VTJ33" s="551"/>
      <c r="VTK33" s="551"/>
      <c r="VTL33" s="551"/>
      <c r="VTM33" s="551"/>
      <c r="VTN33" s="551"/>
      <c r="VTO33" s="551"/>
      <c r="VTP33" s="551"/>
      <c r="VTQ33" s="551"/>
      <c r="VTR33" s="551"/>
      <c r="VTS33" s="551"/>
      <c r="VTT33" s="551"/>
      <c r="VTU33" s="551"/>
      <c r="VTV33" s="551"/>
      <c r="VTW33" s="551"/>
      <c r="VTX33" s="551"/>
      <c r="VTY33" s="551"/>
      <c r="VTZ33" s="551"/>
      <c r="VUA33" s="551"/>
      <c r="VUB33" s="551"/>
      <c r="VUC33" s="551"/>
      <c r="VUD33" s="551"/>
      <c r="VUE33" s="551"/>
      <c r="VUF33" s="551"/>
      <c r="VUG33" s="551"/>
      <c r="VUH33" s="551"/>
      <c r="VUI33" s="551"/>
      <c r="VUJ33" s="551"/>
      <c r="VUK33" s="551"/>
      <c r="VUL33" s="551"/>
      <c r="VUM33" s="551"/>
      <c r="VUN33" s="551"/>
      <c r="VUO33" s="551"/>
      <c r="VUP33" s="551"/>
      <c r="VUQ33" s="551"/>
      <c r="VUR33" s="551"/>
      <c r="VUS33" s="551"/>
      <c r="VUT33" s="551"/>
      <c r="VUU33" s="551"/>
      <c r="VUV33" s="551"/>
      <c r="VUW33" s="551"/>
      <c r="VUX33" s="551"/>
      <c r="VUY33" s="551"/>
      <c r="VUZ33" s="551"/>
      <c r="VVA33" s="551"/>
      <c r="VVB33" s="551"/>
      <c r="VVC33" s="551"/>
      <c r="VVD33" s="551"/>
      <c r="VVE33" s="551"/>
      <c r="VVF33" s="551"/>
      <c r="VVG33" s="551"/>
      <c r="VVH33" s="551"/>
      <c r="VVI33" s="551"/>
      <c r="VVJ33" s="551"/>
      <c r="VVK33" s="551"/>
      <c r="VVL33" s="551"/>
      <c r="VVM33" s="551"/>
      <c r="VVN33" s="551"/>
      <c r="VVO33" s="551"/>
      <c r="VVP33" s="551"/>
      <c r="VVQ33" s="551"/>
      <c r="VVR33" s="551"/>
      <c r="VVS33" s="551"/>
      <c r="VVT33" s="551"/>
      <c r="VVU33" s="551"/>
      <c r="VVV33" s="551"/>
      <c r="VVW33" s="551"/>
      <c r="VVX33" s="551"/>
      <c r="VVY33" s="551"/>
      <c r="VVZ33" s="551"/>
      <c r="VWA33" s="551"/>
      <c r="VWB33" s="551"/>
      <c r="VWC33" s="551"/>
      <c r="VWD33" s="551"/>
      <c r="VWE33" s="551"/>
      <c r="VWF33" s="551"/>
      <c r="VWG33" s="551"/>
      <c r="VWH33" s="551"/>
      <c r="VWI33" s="551"/>
      <c r="VWJ33" s="551"/>
      <c r="VWK33" s="551"/>
      <c r="VWL33" s="551"/>
      <c r="VWM33" s="551"/>
      <c r="VWN33" s="551"/>
      <c r="VWO33" s="551"/>
      <c r="VWP33" s="551"/>
      <c r="VWQ33" s="551"/>
      <c r="VWR33" s="551"/>
      <c r="VWS33" s="551"/>
      <c r="VWT33" s="551"/>
      <c r="VWU33" s="551"/>
      <c r="VWV33" s="551"/>
      <c r="VWW33" s="551"/>
      <c r="VWX33" s="551"/>
      <c r="VWY33" s="551"/>
      <c r="VWZ33" s="551"/>
      <c r="VXA33" s="551"/>
      <c r="VXB33" s="551"/>
      <c r="VXC33" s="551"/>
      <c r="VXD33" s="551"/>
      <c r="VXE33" s="551"/>
      <c r="VXF33" s="551"/>
      <c r="VXG33" s="551"/>
      <c r="VXH33" s="551"/>
      <c r="VXI33" s="551"/>
      <c r="VXJ33" s="551"/>
      <c r="VXK33" s="551"/>
      <c r="VXL33" s="551"/>
      <c r="VXM33" s="551"/>
      <c r="VXN33" s="551"/>
      <c r="VXO33" s="551"/>
      <c r="VXP33" s="551"/>
      <c r="VXQ33" s="551"/>
      <c r="VXR33" s="551"/>
      <c r="VXS33" s="551"/>
      <c r="VXT33" s="551"/>
      <c r="VXU33" s="551"/>
      <c r="VXV33" s="551"/>
      <c r="VXW33" s="551"/>
      <c r="VXX33" s="551"/>
      <c r="VXY33" s="551"/>
      <c r="VXZ33" s="551"/>
      <c r="VYA33" s="551"/>
      <c r="VYB33" s="551"/>
      <c r="VYC33" s="551"/>
      <c r="VYD33" s="551"/>
      <c r="VYE33" s="551"/>
      <c r="VYF33" s="551"/>
      <c r="VYG33" s="551"/>
      <c r="VYH33" s="551"/>
      <c r="VYI33" s="551"/>
      <c r="VYJ33" s="551"/>
      <c r="VYK33" s="551"/>
      <c r="VYL33" s="551"/>
      <c r="VYM33" s="551"/>
      <c r="VYN33" s="551"/>
      <c r="VYO33" s="551"/>
      <c r="VYP33" s="551"/>
      <c r="VYQ33" s="551"/>
      <c r="VYR33" s="551"/>
      <c r="VYS33" s="551"/>
      <c r="VYT33" s="551"/>
      <c r="VYU33" s="551"/>
      <c r="VYV33" s="551"/>
      <c r="VYW33" s="551"/>
      <c r="VYX33" s="551"/>
      <c r="VYY33" s="551"/>
      <c r="VYZ33" s="551"/>
      <c r="VZA33" s="551"/>
      <c r="VZB33" s="551"/>
      <c r="VZC33" s="551"/>
      <c r="VZD33" s="551"/>
      <c r="VZE33" s="551"/>
      <c r="VZF33" s="551"/>
      <c r="VZG33" s="551"/>
      <c r="VZH33" s="551"/>
      <c r="VZI33" s="551"/>
      <c r="VZJ33" s="551"/>
      <c r="VZK33" s="551"/>
      <c r="VZL33" s="551"/>
      <c r="VZM33" s="551"/>
      <c r="VZN33" s="551"/>
      <c r="VZO33" s="551"/>
      <c r="VZP33" s="551"/>
      <c r="VZQ33" s="551"/>
      <c r="VZR33" s="551"/>
      <c r="VZS33" s="551"/>
      <c r="VZT33" s="551"/>
      <c r="VZU33" s="551"/>
      <c r="VZV33" s="551"/>
      <c r="VZW33" s="551"/>
      <c r="VZX33" s="551"/>
      <c r="VZY33" s="551"/>
      <c r="VZZ33" s="551"/>
      <c r="WAA33" s="551"/>
      <c r="WAB33" s="551"/>
      <c r="WAC33" s="551"/>
      <c r="WAD33" s="551"/>
      <c r="WAE33" s="551"/>
      <c r="WAF33" s="551"/>
      <c r="WAG33" s="551"/>
      <c r="WAH33" s="551"/>
      <c r="WAI33" s="551"/>
      <c r="WAJ33" s="551"/>
      <c r="WAK33" s="551"/>
      <c r="WAL33" s="551"/>
      <c r="WAM33" s="551"/>
      <c r="WAN33" s="551"/>
      <c r="WAO33" s="551"/>
      <c r="WAP33" s="551"/>
      <c r="WAQ33" s="551"/>
      <c r="WAR33" s="551"/>
      <c r="WAS33" s="551"/>
      <c r="WAT33" s="551"/>
      <c r="WAU33" s="551"/>
      <c r="WAV33" s="551"/>
      <c r="WAW33" s="551"/>
      <c r="WAX33" s="551"/>
      <c r="WAY33" s="551"/>
      <c r="WAZ33" s="551"/>
      <c r="WBA33" s="551"/>
      <c r="WBB33" s="551"/>
      <c r="WBC33" s="551"/>
      <c r="WBD33" s="551"/>
      <c r="WBE33" s="551"/>
      <c r="WBF33" s="551"/>
      <c r="WBG33" s="551"/>
      <c r="WBH33" s="551"/>
      <c r="WBI33" s="551"/>
      <c r="WBJ33" s="551"/>
      <c r="WBK33" s="551"/>
      <c r="WBL33" s="551"/>
      <c r="WBM33" s="551"/>
      <c r="WBN33" s="551"/>
      <c r="WBO33" s="551"/>
      <c r="WBP33" s="551"/>
      <c r="WBQ33" s="551"/>
      <c r="WBR33" s="551"/>
      <c r="WBS33" s="551"/>
      <c r="WBT33" s="551"/>
      <c r="WBU33" s="551"/>
      <c r="WBV33" s="551"/>
      <c r="WBW33" s="551"/>
      <c r="WBX33" s="551"/>
      <c r="WBY33" s="551"/>
      <c r="WBZ33" s="551"/>
      <c r="WCA33" s="551"/>
      <c r="WCB33" s="551"/>
      <c r="WCC33" s="551"/>
      <c r="WCD33" s="551"/>
      <c r="WCE33" s="551"/>
      <c r="WCF33" s="551"/>
      <c r="WCG33" s="551"/>
      <c r="WCH33" s="551"/>
      <c r="WCI33" s="551"/>
      <c r="WCJ33" s="551"/>
      <c r="WCK33" s="551"/>
      <c r="WCL33" s="551"/>
      <c r="WCM33" s="551"/>
      <c r="WCN33" s="551"/>
      <c r="WCO33" s="551"/>
      <c r="WCP33" s="551"/>
      <c r="WCQ33" s="551"/>
      <c r="WCR33" s="551"/>
      <c r="WCS33" s="551"/>
      <c r="WCT33" s="551"/>
      <c r="WCU33" s="551"/>
      <c r="WCV33" s="551"/>
      <c r="WCW33" s="551"/>
      <c r="WCX33" s="551"/>
      <c r="WCY33" s="551"/>
      <c r="WCZ33" s="551"/>
      <c r="WDA33" s="551"/>
      <c r="WDB33" s="551"/>
      <c r="WDC33" s="551"/>
      <c r="WDD33" s="551"/>
      <c r="WDE33" s="551"/>
      <c r="WDF33" s="551"/>
      <c r="WDG33" s="551"/>
      <c r="WDH33" s="551"/>
      <c r="WDI33" s="551"/>
      <c r="WDJ33" s="551"/>
      <c r="WDK33" s="551"/>
      <c r="WDL33" s="551"/>
      <c r="WDM33" s="551"/>
      <c r="WDN33" s="551"/>
      <c r="WDO33" s="551"/>
      <c r="WDP33" s="551"/>
      <c r="WDQ33" s="551"/>
      <c r="WDR33" s="551"/>
      <c r="WDS33" s="551"/>
      <c r="WDT33" s="551"/>
      <c r="WDU33" s="551"/>
      <c r="WDV33" s="551"/>
      <c r="WDW33" s="551"/>
      <c r="WDX33" s="551"/>
      <c r="WDY33" s="551"/>
      <c r="WDZ33" s="551"/>
      <c r="WEA33" s="551"/>
      <c r="WEB33" s="551"/>
      <c r="WEC33" s="551"/>
      <c r="WED33" s="551"/>
      <c r="WEE33" s="551"/>
      <c r="WEF33" s="551"/>
      <c r="WEG33" s="551"/>
      <c r="WEH33" s="551"/>
      <c r="WEI33" s="551"/>
      <c r="WEJ33" s="551"/>
      <c r="WEK33" s="551"/>
      <c r="WEL33" s="551"/>
      <c r="WEM33" s="551"/>
      <c r="WEN33" s="551"/>
      <c r="WEO33" s="551"/>
      <c r="WEP33" s="551"/>
      <c r="WEQ33" s="551"/>
      <c r="WER33" s="551"/>
      <c r="WES33" s="551"/>
      <c r="WET33" s="551"/>
      <c r="WEU33" s="551"/>
      <c r="WEV33" s="551"/>
      <c r="WEW33" s="551"/>
      <c r="WEX33" s="551"/>
      <c r="WEY33" s="551"/>
      <c r="WEZ33" s="551"/>
      <c r="WFA33" s="551"/>
      <c r="WFB33" s="551"/>
      <c r="WFC33" s="551"/>
      <c r="WFD33" s="551"/>
      <c r="WFE33" s="551"/>
      <c r="WFF33" s="551"/>
      <c r="WFG33" s="551"/>
      <c r="WFH33" s="551"/>
      <c r="WFI33" s="551"/>
      <c r="WFJ33" s="551"/>
      <c r="WFK33" s="551"/>
      <c r="WFL33" s="551"/>
      <c r="WFM33" s="551"/>
      <c r="WFN33" s="551"/>
      <c r="WFO33" s="551"/>
      <c r="WFP33" s="551"/>
      <c r="WFQ33" s="551"/>
      <c r="WFR33" s="551"/>
      <c r="WFS33" s="551"/>
      <c r="WFT33" s="551"/>
      <c r="WFU33" s="551"/>
      <c r="WFV33" s="551"/>
      <c r="WFW33" s="551"/>
      <c r="WFX33" s="551"/>
      <c r="WFY33" s="551"/>
      <c r="WFZ33" s="551"/>
      <c r="WGA33" s="551"/>
      <c r="WGB33" s="551"/>
      <c r="WGC33" s="551"/>
      <c r="WGD33" s="551"/>
      <c r="WGE33" s="551"/>
      <c r="WGF33" s="551"/>
      <c r="WGG33" s="551"/>
      <c r="WGH33" s="551"/>
      <c r="WGI33" s="551"/>
      <c r="WGJ33" s="551"/>
      <c r="WGK33" s="551"/>
      <c r="WGL33" s="551"/>
      <c r="WGM33" s="551"/>
      <c r="WGN33" s="551"/>
      <c r="WGO33" s="551"/>
      <c r="WGP33" s="551"/>
      <c r="WGQ33" s="551"/>
      <c r="WGR33" s="551"/>
      <c r="WGS33" s="551"/>
      <c r="WGT33" s="551"/>
      <c r="WGU33" s="551"/>
      <c r="WGV33" s="551"/>
      <c r="WGW33" s="551"/>
      <c r="WGX33" s="551"/>
      <c r="WGY33" s="551"/>
      <c r="WGZ33" s="551"/>
      <c r="WHA33" s="551"/>
      <c r="WHB33" s="551"/>
      <c r="WHC33" s="551"/>
      <c r="WHD33" s="551"/>
      <c r="WHE33" s="551"/>
      <c r="WHF33" s="551"/>
      <c r="WHG33" s="551"/>
      <c r="WHH33" s="551"/>
      <c r="WHI33" s="551"/>
      <c r="WHJ33" s="551"/>
      <c r="WHK33" s="551"/>
      <c r="WHL33" s="551"/>
      <c r="WHM33" s="551"/>
      <c r="WHN33" s="551"/>
      <c r="WHO33" s="551"/>
      <c r="WHP33" s="551"/>
      <c r="WHQ33" s="551"/>
      <c r="WHR33" s="551"/>
      <c r="WHS33" s="551"/>
      <c r="WHT33" s="551"/>
      <c r="WHU33" s="551"/>
      <c r="WHV33" s="551"/>
      <c r="WHW33" s="551"/>
      <c r="WHX33" s="551"/>
      <c r="WHY33" s="551"/>
      <c r="WHZ33" s="551"/>
      <c r="WIA33" s="551"/>
      <c r="WIB33" s="551"/>
      <c r="WIC33" s="551"/>
      <c r="WID33" s="551"/>
      <c r="WIE33" s="551"/>
      <c r="WIF33" s="551"/>
      <c r="WIG33" s="551"/>
      <c r="WIH33" s="551"/>
      <c r="WII33" s="551"/>
      <c r="WIJ33" s="551"/>
      <c r="WIK33" s="551"/>
      <c r="WIL33" s="551"/>
      <c r="WIM33" s="551"/>
      <c r="WIN33" s="551"/>
      <c r="WIO33" s="551"/>
      <c r="WIP33" s="551"/>
      <c r="WIQ33" s="551"/>
      <c r="WIR33" s="551"/>
      <c r="WIS33" s="551"/>
      <c r="WIT33" s="551"/>
      <c r="WIU33" s="551"/>
      <c r="WIV33" s="551"/>
      <c r="WIW33" s="551"/>
      <c r="WIX33" s="551"/>
      <c r="WIY33" s="551"/>
      <c r="WIZ33" s="551"/>
      <c r="WJA33" s="551"/>
      <c r="WJB33" s="551"/>
      <c r="WJC33" s="551"/>
      <c r="WJD33" s="551"/>
      <c r="WJE33" s="551"/>
      <c r="WJF33" s="551"/>
      <c r="WJG33" s="551"/>
      <c r="WJH33" s="551"/>
      <c r="WJI33" s="551"/>
      <c r="WJJ33" s="551"/>
      <c r="WJK33" s="551"/>
      <c r="WJL33" s="551"/>
      <c r="WJM33" s="551"/>
      <c r="WJN33" s="551"/>
      <c r="WJO33" s="551"/>
      <c r="WJP33" s="551"/>
      <c r="WJQ33" s="551"/>
      <c r="WJR33" s="551"/>
      <c r="WJS33" s="551"/>
      <c r="WJT33" s="551"/>
      <c r="WJU33" s="551"/>
      <c r="WJV33" s="551"/>
      <c r="WJW33" s="551"/>
      <c r="WJX33" s="551"/>
      <c r="WJY33" s="551"/>
      <c r="WJZ33" s="551"/>
      <c r="WKA33" s="551"/>
      <c r="WKB33" s="551"/>
      <c r="WKC33" s="551"/>
      <c r="WKD33" s="551"/>
      <c r="WKE33" s="551"/>
      <c r="WKF33" s="551"/>
      <c r="WKG33" s="551"/>
      <c r="WKH33" s="551"/>
      <c r="WKI33" s="551"/>
      <c r="WKJ33" s="551"/>
      <c r="WKK33" s="551"/>
      <c r="WKL33" s="551"/>
      <c r="WKM33" s="551"/>
      <c r="WKN33" s="551"/>
      <c r="WKO33" s="551"/>
      <c r="WKP33" s="551"/>
      <c r="WKQ33" s="551"/>
      <c r="WKR33" s="551"/>
      <c r="WKS33" s="551"/>
      <c r="WKT33" s="551"/>
      <c r="WKU33" s="551"/>
      <c r="WKV33" s="551"/>
      <c r="WKW33" s="551"/>
      <c r="WKX33" s="551"/>
      <c r="WKY33" s="551"/>
      <c r="WKZ33" s="551"/>
      <c r="WLA33" s="551"/>
      <c r="WLB33" s="551"/>
      <c r="WLC33" s="551"/>
      <c r="WLD33" s="551"/>
      <c r="WLE33" s="551"/>
      <c r="WLF33" s="551"/>
      <c r="WLG33" s="551"/>
      <c r="WLH33" s="551"/>
      <c r="WLI33" s="551"/>
      <c r="WLJ33" s="551"/>
      <c r="WLK33" s="551"/>
      <c r="WLL33" s="551"/>
      <c r="WLM33" s="551"/>
      <c r="WLN33" s="551"/>
      <c r="WLO33" s="551"/>
      <c r="WLP33" s="551"/>
      <c r="WLQ33" s="551"/>
      <c r="WLR33" s="551"/>
      <c r="WLS33" s="551"/>
      <c r="WLT33" s="551"/>
      <c r="WLU33" s="551"/>
      <c r="WLV33" s="551"/>
      <c r="WLW33" s="551"/>
      <c r="WLX33" s="551"/>
      <c r="WLY33" s="551"/>
      <c r="WLZ33" s="551"/>
      <c r="WMA33" s="551"/>
      <c r="WMB33" s="551"/>
      <c r="WMC33" s="551"/>
      <c r="WMD33" s="551"/>
      <c r="WME33" s="551"/>
      <c r="WMF33" s="551"/>
      <c r="WMG33" s="551"/>
      <c r="WMH33" s="551"/>
      <c r="WMI33" s="551"/>
      <c r="WMJ33" s="551"/>
      <c r="WMK33" s="551"/>
      <c r="WML33" s="551"/>
      <c r="WMM33" s="551"/>
      <c r="WMN33" s="551"/>
      <c r="WMO33" s="551"/>
      <c r="WMP33" s="551"/>
      <c r="WMQ33" s="551"/>
      <c r="WMR33" s="551"/>
      <c r="WMS33" s="551"/>
      <c r="WMT33" s="551"/>
      <c r="WMU33" s="551"/>
      <c r="WMV33" s="551"/>
      <c r="WMW33" s="551"/>
      <c r="WMX33" s="551"/>
      <c r="WMY33" s="551"/>
      <c r="WMZ33" s="551"/>
      <c r="WNA33" s="551"/>
      <c r="WNB33" s="551"/>
      <c r="WNC33" s="551"/>
      <c r="WND33" s="551"/>
      <c r="WNE33" s="551"/>
      <c r="WNF33" s="551"/>
      <c r="WNG33" s="551"/>
      <c r="WNH33" s="551"/>
      <c r="WNI33" s="551"/>
      <c r="WNJ33" s="551"/>
      <c r="WNK33" s="551"/>
      <c r="WNL33" s="551"/>
      <c r="WNM33" s="551"/>
      <c r="WNN33" s="551"/>
      <c r="WNO33" s="551"/>
      <c r="WNP33" s="551"/>
      <c r="WNQ33" s="551"/>
      <c r="WNR33" s="551"/>
      <c r="WNS33" s="551"/>
      <c r="WNT33" s="551"/>
      <c r="WNU33" s="551"/>
      <c r="WNV33" s="551"/>
      <c r="WNW33" s="551"/>
      <c r="WNX33" s="551"/>
      <c r="WNY33" s="551"/>
      <c r="WNZ33" s="551"/>
      <c r="WOA33" s="551"/>
      <c r="WOB33" s="551"/>
      <c r="WOC33" s="551"/>
      <c r="WOD33" s="551"/>
      <c r="WOE33" s="551"/>
      <c r="WOF33" s="551"/>
      <c r="WOG33" s="551"/>
      <c r="WOH33" s="551"/>
      <c r="WOI33" s="551"/>
      <c r="WOJ33" s="551"/>
      <c r="WOK33" s="551"/>
      <c r="WOL33" s="551"/>
      <c r="WOM33" s="551"/>
      <c r="WON33" s="551"/>
      <c r="WOO33" s="551"/>
      <c r="WOP33" s="551"/>
      <c r="WOQ33" s="551"/>
      <c r="WOR33" s="551"/>
      <c r="WOS33" s="551"/>
      <c r="WOT33" s="551"/>
      <c r="WOU33" s="551"/>
      <c r="WOV33" s="551"/>
      <c r="WOW33" s="551"/>
      <c r="WOX33" s="551"/>
      <c r="WOY33" s="551"/>
      <c r="WOZ33" s="551"/>
      <c r="WPA33" s="551"/>
      <c r="WPB33" s="551"/>
      <c r="WPC33" s="551"/>
      <c r="WPD33" s="551"/>
      <c r="WPE33" s="551"/>
      <c r="WPF33" s="551"/>
      <c r="WPG33" s="551"/>
      <c r="WPH33" s="551"/>
      <c r="WPI33" s="551"/>
      <c r="WPJ33" s="551"/>
      <c r="WPK33" s="551"/>
      <c r="WPL33" s="551"/>
      <c r="WPM33" s="551"/>
      <c r="WPN33" s="551"/>
      <c r="WPO33" s="551"/>
      <c r="WPP33" s="551"/>
      <c r="WPQ33" s="551"/>
      <c r="WPR33" s="551"/>
      <c r="WPS33" s="551"/>
      <c r="WPT33" s="551"/>
      <c r="WPU33" s="551"/>
      <c r="WPV33" s="551"/>
      <c r="WPW33" s="551"/>
      <c r="WPX33" s="551"/>
      <c r="WPY33" s="551"/>
      <c r="WPZ33" s="551"/>
      <c r="WQA33" s="551"/>
      <c r="WQB33" s="551"/>
      <c r="WQC33" s="551"/>
      <c r="WQD33" s="551"/>
      <c r="WQE33" s="551"/>
      <c r="WQF33" s="551"/>
      <c r="WQG33" s="551"/>
      <c r="WQH33" s="551"/>
      <c r="WQI33" s="551"/>
      <c r="WQJ33" s="551"/>
      <c r="WQK33" s="551"/>
      <c r="WQL33" s="551"/>
      <c r="WQM33" s="551"/>
      <c r="WQN33" s="551"/>
      <c r="WQO33" s="551"/>
      <c r="WQP33" s="551"/>
      <c r="WQQ33" s="551"/>
      <c r="WQR33" s="551"/>
      <c r="WQS33" s="551"/>
      <c r="WQT33" s="551"/>
      <c r="WQU33" s="551"/>
      <c r="WQV33" s="551"/>
      <c r="WQW33" s="551"/>
      <c r="WQX33" s="551"/>
      <c r="WQY33" s="551"/>
      <c r="WQZ33" s="551"/>
      <c r="WRA33" s="551"/>
      <c r="WRB33" s="551"/>
      <c r="WRC33" s="551"/>
      <c r="WRD33" s="551"/>
      <c r="WRE33" s="551"/>
      <c r="WRF33" s="551"/>
      <c r="WRG33" s="551"/>
      <c r="WRH33" s="551"/>
      <c r="WRI33" s="551"/>
      <c r="WRJ33" s="551"/>
      <c r="WRK33" s="551"/>
      <c r="WRL33" s="551"/>
      <c r="WRM33" s="551"/>
      <c r="WRN33" s="551"/>
      <c r="WRO33" s="551"/>
      <c r="WRP33" s="551"/>
      <c r="WRQ33" s="551"/>
      <c r="WRR33" s="551"/>
      <c r="WRS33" s="551"/>
      <c r="WRT33" s="551"/>
      <c r="WRU33" s="551"/>
      <c r="WRV33" s="551"/>
      <c r="WRW33" s="551"/>
      <c r="WRX33" s="551"/>
      <c r="WRY33" s="551"/>
      <c r="WRZ33" s="551"/>
      <c r="WSA33" s="551"/>
      <c r="WSB33" s="551"/>
      <c r="WSC33" s="551"/>
      <c r="WSD33" s="551"/>
      <c r="WSE33" s="551"/>
      <c r="WSF33" s="551"/>
      <c r="WSG33" s="551"/>
      <c r="WSH33" s="551"/>
      <c r="WSI33" s="551"/>
      <c r="WSJ33" s="551"/>
      <c r="WSK33" s="551"/>
      <c r="WSL33" s="551"/>
      <c r="WSM33" s="551"/>
      <c r="WSN33" s="551"/>
      <c r="WSO33" s="551"/>
      <c r="WSP33" s="551"/>
      <c r="WSQ33" s="551"/>
      <c r="WSR33" s="551"/>
      <c r="WSS33" s="551"/>
      <c r="WST33" s="551"/>
      <c r="WSU33" s="551"/>
      <c r="WSV33" s="551"/>
      <c r="WSW33" s="551"/>
      <c r="WSX33" s="551"/>
      <c r="WSY33" s="551"/>
      <c r="WSZ33" s="551"/>
      <c r="WTA33" s="551"/>
      <c r="WTB33" s="551"/>
      <c r="WTC33" s="551"/>
      <c r="WTD33" s="551"/>
      <c r="WTE33" s="551"/>
      <c r="WTF33" s="551"/>
      <c r="WTG33" s="551"/>
      <c r="WTH33" s="551"/>
      <c r="WTI33" s="551"/>
      <c r="WTJ33" s="551"/>
      <c r="WTK33" s="551"/>
      <c r="WTL33" s="551"/>
      <c r="WTM33" s="551"/>
      <c r="WTN33" s="551"/>
      <c r="WTO33" s="551"/>
      <c r="WTP33" s="551"/>
      <c r="WTQ33" s="551"/>
      <c r="WTR33" s="551"/>
      <c r="WTS33" s="551"/>
      <c r="WTT33" s="551"/>
      <c r="WTU33" s="551"/>
      <c r="WTV33" s="551"/>
      <c r="WTW33" s="551"/>
      <c r="WTX33" s="551"/>
      <c r="WTY33" s="551"/>
      <c r="WTZ33" s="551"/>
      <c r="WUA33" s="551"/>
      <c r="WUB33" s="551"/>
      <c r="WUC33" s="551"/>
      <c r="WUD33" s="551"/>
      <c r="WUE33" s="551"/>
      <c r="WUF33" s="551"/>
      <c r="WUG33" s="551"/>
      <c r="WUH33" s="551"/>
      <c r="WUI33" s="551"/>
      <c r="WUJ33" s="551"/>
      <c r="WUK33" s="551"/>
      <c r="WUL33" s="551"/>
      <c r="WUM33" s="551"/>
      <c r="WUN33" s="551"/>
      <c r="WUO33" s="551"/>
      <c r="WUP33" s="551"/>
      <c r="WUQ33" s="551"/>
      <c r="WUR33" s="551"/>
      <c r="WUS33" s="551"/>
      <c r="WUT33" s="551"/>
      <c r="WUU33" s="551"/>
      <c r="WUV33" s="551"/>
      <c r="WUW33" s="551"/>
      <c r="WUX33" s="551"/>
      <c r="WUY33" s="551"/>
      <c r="WUZ33" s="551"/>
      <c r="WVA33" s="551"/>
      <c r="WVB33" s="551"/>
      <c r="WVC33" s="551"/>
      <c r="WVD33" s="551"/>
      <c r="WVE33" s="551"/>
      <c r="WVF33" s="551"/>
      <c r="WVG33" s="551"/>
      <c r="WVH33" s="551"/>
      <c r="WVI33" s="551"/>
      <c r="WVJ33" s="551"/>
      <c r="WVK33" s="551"/>
      <c r="WVL33" s="551"/>
      <c r="WVM33" s="551"/>
      <c r="WVN33" s="551"/>
      <c r="WVO33" s="551"/>
      <c r="WVP33" s="551"/>
      <c r="WVQ33" s="551"/>
      <c r="WVR33" s="551"/>
      <c r="WVS33" s="551"/>
      <c r="WVT33" s="551"/>
      <c r="WVU33" s="551"/>
      <c r="WVV33" s="551"/>
      <c r="WVW33" s="551"/>
      <c r="WVX33" s="551"/>
      <c r="WVY33" s="551"/>
      <c r="WVZ33" s="551"/>
      <c r="WWA33" s="551"/>
      <c r="WWB33" s="551"/>
      <c r="WWC33" s="551"/>
      <c r="WWD33" s="551"/>
      <c r="WWE33" s="551"/>
      <c r="WWF33" s="551"/>
      <c r="WWG33" s="551"/>
      <c r="WWH33" s="551"/>
      <c r="WWI33" s="551"/>
      <c r="WWJ33" s="551"/>
      <c r="WWK33" s="551"/>
      <c r="WWL33" s="551"/>
      <c r="WWM33" s="551"/>
      <c r="WWN33" s="551"/>
      <c r="WWO33" s="551"/>
      <c r="WWP33" s="551"/>
      <c r="WWQ33" s="551"/>
      <c r="WWR33" s="551"/>
      <c r="WWS33" s="551"/>
      <c r="WWT33" s="551"/>
      <c r="WWU33" s="551"/>
      <c r="WWV33" s="551"/>
      <c r="WWW33" s="551"/>
      <c r="WWX33" s="551"/>
      <c r="WWY33" s="551"/>
      <c r="WWZ33" s="551"/>
      <c r="WXA33" s="551"/>
      <c r="WXB33" s="551"/>
      <c r="WXC33" s="551"/>
      <c r="WXD33" s="551"/>
      <c r="WXE33" s="551"/>
      <c r="WXF33" s="551"/>
      <c r="WXG33" s="551"/>
      <c r="WXH33" s="551"/>
      <c r="WXI33" s="551"/>
      <c r="WXJ33" s="551"/>
      <c r="WXK33" s="551"/>
      <c r="WXL33" s="551"/>
      <c r="WXM33" s="551"/>
      <c r="WXN33" s="551"/>
      <c r="WXO33" s="551"/>
      <c r="WXP33" s="551"/>
      <c r="WXQ33" s="551"/>
      <c r="WXR33" s="551"/>
      <c r="WXS33" s="551"/>
      <c r="WXT33" s="551"/>
      <c r="WXU33" s="551"/>
      <c r="WXV33" s="551"/>
      <c r="WXW33" s="551"/>
      <c r="WXX33" s="551"/>
      <c r="WXY33" s="551"/>
      <c r="WXZ33" s="551"/>
      <c r="WYA33" s="551"/>
      <c r="WYB33" s="551"/>
      <c r="WYC33" s="551"/>
      <c r="WYD33" s="551"/>
      <c r="WYE33" s="551"/>
      <c r="WYF33" s="551"/>
      <c r="WYG33" s="551"/>
      <c r="WYH33" s="551"/>
      <c r="WYI33" s="551"/>
      <c r="WYJ33" s="551"/>
      <c r="WYK33" s="551"/>
      <c r="WYL33" s="551"/>
      <c r="WYM33" s="551"/>
      <c r="WYN33" s="551"/>
      <c r="WYO33" s="551"/>
      <c r="WYP33" s="551"/>
      <c r="WYQ33" s="551"/>
      <c r="WYR33" s="551"/>
      <c r="WYS33" s="551"/>
      <c r="WYT33" s="551"/>
      <c r="WYU33" s="551"/>
      <c r="WYV33" s="551"/>
      <c r="WYW33" s="551"/>
      <c r="WYX33" s="551"/>
      <c r="WYY33" s="551"/>
      <c r="WYZ33" s="551"/>
      <c r="WZA33" s="551"/>
      <c r="WZB33" s="551"/>
      <c r="WZC33" s="551"/>
      <c r="WZD33" s="551"/>
      <c r="WZE33" s="551"/>
      <c r="WZF33" s="551"/>
      <c r="WZG33" s="551"/>
      <c r="WZH33" s="551"/>
      <c r="WZI33" s="551"/>
      <c r="WZJ33" s="551"/>
      <c r="WZK33" s="551"/>
      <c r="WZL33" s="551"/>
      <c r="WZM33" s="551"/>
      <c r="WZN33" s="551"/>
      <c r="WZO33" s="551"/>
      <c r="WZP33" s="551"/>
      <c r="WZQ33" s="551"/>
      <c r="WZR33" s="551"/>
      <c r="WZS33" s="551"/>
      <c r="WZT33" s="551"/>
      <c r="WZU33" s="551"/>
      <c r="WZV33" s="551"/>
      <c r="WZW33" s="551"/>
      <c r="WZX33" s="551"/>
      <c r="WZY33" s="551"/>
      <c r="WZZ33" s="551"/>
      <c r="XAA33" s="551"/>
      <c r="XAB33" s="551"/>
      <c r="XAC33" s="551"/>
      <c r="XAD33" s="551"/>
      <c r="XAE33" s="551"/>
      <c r="XAF33" s="551"/>
      <c r="XAG33" s="551"/>
      <c r="XAH33" s="551"/>
      <c r="XAI33" s="551"/>
      <c r="XAJ33" s="551"/>
      <c r="XAK33" s="551"/>
      <c r="XAL33" s="551"/>
      <c r="XAM33" s="551"/>
      <c r="XAN33" s="551"/>
      <c r="XAO33" s="551"/>
      <c r="XAP33" s="551"/>
      <c r="XAQ33" s="551"/>
      <c r="XAR33" s="551"/>
      <c r="XAS33" s="551"/>
      <c r="XAT33" s="551"/>
      <c r="XAU33" s="551"/>
      <c r="XAV33" s="551"/>
      <c r="XAW33" s="551"/>
      <c r="XAX33" s="551"/>
      <c r="XAY33" s="551"/>
      <c r="XAZ33" s="551"/>
      <c r="XBA33" s="551"/>
      <c r="XBB33" s="551"/>
      <c r="XBC33" s="551"/>
      <c r="XBD33" s="551"/>
      <c r="XBE33" s="551"/>
      <c r="XBF33" s="551"/>
      <c r="XBG33" s="551"/>
      <c r="XBH33" s="551"/>
      <c r="XBI33" s="551"/>
      <c r="XBJ33" s="551"/>
      <c r="XBK33" s="551"/>
      <c r="XBL33" s="551"/>
      <c r="XBM33" s="551"/>
      <c r="XBN33" s="551"/>
      <c r="XBO33" s="551"/>
      <c r="XBP33" s="551"/>
      <c r="XBQ33" s="551"/>
      <c r="XBR33" s="551"/>
      <c r="XBS33" s="551"/>
      <c r="XBT33" s="551"/>
      <c r="XBU33" s="551"/>
      <c r="XBV33" s="551"/>
      <c r="XBW33" s="551"/>
      <c r="XBX33" s="551"/>
      <c r="XBY33" s="551"/>
      <c r="XBZ33" s="551"/>
      <c r="XCA33" s="551"/>
      <c r="XCB33" s="551"/>
      <c r="XCC33" s="551"/>
      <c r="XCD33" s="551"/>
      <c r="XCE33" s="551"/>
      <c r="XCF33" s="551"/>
      <c r="XCG33" s="551"/>
      <c r="XCH33" s="551"/>
      <c r="XCI33" s="551"/>
      <c r="XCJ33" s="551"/>
      <c r="XCK33" s="551"/>
      <c r="XCL33" s="551"/>
      <c r="XCM33" s="551"/>
      <c r="XCN33" s="551"/>
      <c r="XCO33" s="551"/>
      <c r="XCP33" s="551"/>
      <c r="XCQ33" s="551"/>
      <c r="XCR33" s="551"/>
      <c r="XCS33" s="551"/>
      <c r="XCT33" s="551"/>
      <c r="XCU33" s="551"/>
      <c r="XCV33" s="551"/>
      <c r="XCW33" s="551"/>
      <c r="XCX33" s="551"/>
      <c r="XCY33" s="551"/>
      <c r="XCZ33" s="551"/>
      <c r="XDA33" s="551"/>
      <c r="XDB33" s="551"/>
      <c r="XDC33" s="551"/>
      <c r="XDD33" s="551"/>
      <c r="XDE33" s="551"/>
      <c r="XDF33" s="551"/>
      <c r="XDG33" s="551"/>
      <c r="XDH33" s="551"/>
      <c r="XDI33" s="551"/>
      <c r="XDJ33" s="551"/>
      <c r="XDK33" s="551"/>
      <c r="XDL33" s="551"/>
      <c r="XDM33" s="551"/>
      <c r="XDN33" s="551"/>
      <c r="XDO33" s="551"/>
      <c r="XDP33" s="551"/>
      <c r="XDQ33" s="551"/>
      <c r="XDR33" s="551"/>
      <c r="XDS33" s="551"/>
      <c r="XDT33" s="551"/>
      <c r="XDU33" s="551"/>
      <c r="XDV33" s="551"/>
      <c r="XDW33" s="551"/>
      <c r="XDX33" s="551"/>
      <c r="XDY33" s="551"/>
      <c r="XDZ33" s="551"/>
      <c r="XEA33" s="551"/>
      <c r="XEB33" s="551"/>
      <c r="XEC33" s="551"/>
      <c r="XED33" s="551"/>
      <c r="XEE33" s="551"/>
      <c r="XEF33" s="551"/>
      <c r="XEG33" s="551"/>
      <c r="XEH33" s="551"/>
      <c r="XEI33" s="551"/>
      <c r="XEJ33" s="551"/>
      <c r="XEK33" s="551"/>
      <c r="XEL33" s="551"/>
      <c r="XEM33" s="551"/>
      <c r="XEN33" s="551"/>
      <c r="XEO33" s="551"/>
      <c r="XEP33" s="551"/>
      <c r="XEQ33" s="551"/>
      <c r="XER33" s="551"/>
      <c r="XES33" s="551"/>
      <c r="XET33" s="551"/>
      <c r="XEU33" s="551"/>
      <c r="XEV33" s="551"/>
      <c r="XEW33" s="551"/>
      <c r="XEX33" s="551"/>
      <c r="XEY33" s="551"/>
      <c r="XEZ33" s="551"/>
      <c r="XFA33" s="551"/>
      <c r="XFB33" s="551"/>
      <c r="XFC33" s="551"/>
      <c r="XFD33" s="551"/>
    </row>
    <row r="34" spans="1:16384">
      <c r="C34" s="113"/>
      <c r="D34" s="177"/>
      <c r="E34" s="113"/>
    </row>
    <row r="35" spans="1:16384">
      <c r="B35" s="178" t="s">
        <v>724</v>
      </c>
      <c r="C35" s="178"/>
      <c r="D35" s="120">
        <f>58.62*1.2</f>
        <v>70.343999999999994</v>
      </c>
      <c r="E35" s="113"/>
    </row>
    <row r="36" spans="1:16384">
      <c r="B36" s="178" t="s">
        <v>725</v>
      </c>
      <c r="C36" s="178"/>
      <c r="D36" s="120">
        <f>405.81*1.1</f>
        <v>446.39100000000002</v>
      </c>
      <c r="E36" s="113"/>
      <c r="G36" t="s">
        <v>850</v>
      </c>
    </row>
    <row r="37" spans="1:16384">
      <c r="B37" s="178" t="s">
        <v>726</v>
      </c>
      <c r="C37" s="178"/>
      <c r="D37" s="120">
        <f>599.54*1.1</f>
        <v>659.49400000000003</v>
      </c>
      <c r="E37" s="113"/>
      <c r="G37" t="s">
        <v>851</v>
      </c>
    </row>
    <row r="38" spans="1:16384">
      <c r="B38" s="178" t="s">
        <v>727</v>
      </c>
      <c r="C38" s="178"/>
      <c r="D38" s="120">
        <v>417.65</v>
      </c>
      <c r="E38" s="113"/>
    </row>
    <row r="39" spans="1:16384">
      <c r="B39" s="178" t="s">
        <v>728</v>
      </c>
      <c r="C39" s="178"/>
      <c r="D39" s="120">
        <v>1141.2</v>
      </c>
      <c r="E39" s="113"/>
    </row>
    <row r="40" spans="1:16384">
      <c r="C40" s="113"/>
      <c r="D40" s="177"/>
      <c r="E40" s="113"/>
    </row>
    <row r="42" spans="1:16384">
      <c r="B42" t="s">
        <v>729</v>
      </c>
      <c r="C42" s="114">
        <v>1</v>
      </c>
    </row>
    <row r="43" spans="1:16384">
      <c r="B43" t="s">
        <v>730</v>
      </c>
      <c r="C43" s="114">
        <v>1</v>
      </c>
    </row>
    <row r="44" spans="1:16384">
      <c r="B44" t="s">
        <v>731</v>
      </c>
      <c r="C44" s="114">
        <v>1</v>
      </c>
    </row>
    <row r="45" spans="1:16384">
      <c r="B45" t="s">
        <v>732</v>
      </c>
      <c r="C45" s="114">
        <v>1</v>
      </c>
    </row>
    <row r="46" spans="1:16384">
      <c r="B46" t="s">
        <v>733</v>
      </c>
      <c r="C46" s="114">
        <v>1</v>
      </c>
    </row>
    <row r="47" spans="1:16384">
      <c r="B47" t="s">
        <v>734</v>
      </c>
      <c r="C47" s="114">
        <v>1</v>
      </c>
    </row>
    <row r="48" spans="1:16384">
      <c r="B48" t="s">
        <v>735</v>
      </c>
      <c r="C48" s="114">
        <v>1</v>
      </c>
    </row>
    <row r="49" spans="2:3">
      <c r="B49" t="s">
        <v>736</v>
      </c>
      <c r="C49" s="114">
        <v>1</v>
      </c>
    </row>
    <row r="50" spans="2:3">
      <c r="B50" t="s">
        <v>737</v>
      </c>
      <c r="C50" s="114">
        <v>1</v>
      </c>
    </row>
    <row r="51" spans="2:3">
      <c r="B51" t="s">
        <v>738</v>
      </c>
      <c r="C51" s="114">
        <v>1</v>
      </c>
    </row>
    <row r="52" spans="2:3">
      <c r="B52" t="s">
        <v>739</v>
      </c>
      <c r="C52" s="114">
        <v>1</v>
      </c>
    </row>
    <row r="53" spans="2:3">
      <c r="B53" t="s">
        <v>736</v>
      </c>
      <c r="C53" s="114">
        <v>1</v>
      </c>
    </row>
    <row r="54" spans="2:3">
      <c r="B54" t="s">
        <v>740</v>
      </c>
      <c r="C54" s="114">
        <v>1</v>
      </c>
    </row>
    <row r="55" spans="2:3">
      <c r="B55" t="s">
        <v>741</v>
      </c>
      <c r="C55" s="114">
        <v>1</v>
      </c>
    </row>
    <row r="56" spans="2:3">
      <c r="B56" t="s">
        <v>742</v>
      </c>
      <c r="C56" s="114">
        <v>1</v>
      </c>
    </row>
    <row r="57" spans="2:3">
      <c r="B57" t="s">
        <v>743</v>
      </c>
      <c r="C57" s="114">
        <v>1</v>
      </c>
    </row>
    <row r="58" spans="2:3">
      <c r="B58" t="s">
        <v>744</v>
      </c>
      <c r="C58" s="114">
        <v>1</v>
      </c>
    </row>
    <row r="59" spans="2:3">
      <c r="B59" t="s">
        <v>745</v>
      </c>
      <c r="C59" s="114">
        <v>1</v>
      </c>
    </row>
    <row r="60" spans="2:3">
      <c r="B60" t="s">
        <v>746</v>
      </c>
      <c r="C60" s="114">
        <v>1</v>
      </c>
    </row>
    <row r="61" spans="2:3">
      <c r="B61" t="s">
        <v>747</v>
      </c>
      <c r="C61" s="114">
        <v>1</v>
      </c>
    </row>
    <row r="62" spans="2:3">
      <c r="B62" t="s">
        <v>748</v>
      </c>
      <c r="C62" s="114">
        <v>1</v>
      </c>
    </row>
    <row r="63" spans="2:3">
      <c r="B63" t="s">
        <v>749</v>
      </c>
      <c r="C63" s="114">
        <v>1</v>
      </c>
    </row>
    <row r="64" spans="2:3">
      <c r="B64" t="s">
        <v>750</v>
      </c>
      <c r="C64" s="114">
        <v>1</v>
      </c>
    </row>
    <row r="65" spans="2:4">
      <c r="B65" t="s">
        <v>751</v>
      </c>
      <c r="C65" s="114">
        <v>1</v>
      </c>
    </row>
    <row r="66" spans="2:4">
      <c r="B66" t="s">
        <v>752</v>
      </c>
      <c r="C66" s="114">
        <v>1</v>
      </c>
    </row>
    <row r="67" spans="2:4">
      <c r="B67" t="s">
        <v>753</v>
      </c>
      <c r="C67" s="114">
        <v>1</v>
      </c>
    </row>
    <row r="68" spans="2:4">
      <c r="B68" t="s">
        <v>754</v>
      </c>
      <c r="C68" s="114">
        <v>5</v>
      </c>
    </row>
    <row r="69" spans="2:4">
      <c r="B69" t="s">
        <v>755</v>
      </c>
      <c r="C69" s="114">
        <v>1</v>
      </c>
    </row>
    <row r="70" spans="2:4">
      <c r="B70" t="s">
        <v>756</v>
      </c>
      <c r="C70" s="114">
        <v>1</v>
      </c>
    </row>
    <row r="76" spans="2:4">
      <c r="B76" t="str">
        <f>LOWER(D76)</f>
        <v>flange aco carbono para colarinho pead epoxi iso 12944 320um c5m durabilidade alta ou pp (nbr 7675/15593) pn16 de110 dn100</v>
      </c>
      <c r="D76" t="s">
        <v>868</v>
      </c>
    </row>
    <row r="77" spans="2:4">
      <c r="B77" t="str">
        <f t="shared" ref="B77:B82" si="0">LOWER(D77)</f>
        <v>kit parafuso porca arruela lisa aco carbono arruela vedacao furacao para esgoto pn10 nbr 7675 para flange avulsa para colarinho pead dn150</v>
      </c>
      <c r="D77" t="s">
        <v>675</v>
      </c>
    </row>
    <row r="78" spans="2:4">
      <c r="B78" t="str">
        <f t="shared" si="0"/>
        <v>kit parafuso porca arruela lisa aco carbono arruela vedacao furacao para esgoto pn16 nbr 7675 para flange avulsa para colarinho pead dn100</v>
      </c>
      <c r="D78" t="s">
        <v>869</v>
      </c>
    </row>
    <row r="79" spans="2:4">
      <c r="B79" t="str">
        <f t="shared" si="0"/>
        <v>kit parafuso porca arruela lisa aco carbono arruela vedacao furacao pn16 nbr 7675 dn80</v>
      </c>
      <c r="D79" t="s">
        <v>870</v>
      </c>
    </row>
    <row r="80" spans="2:4">
      <c r="B80" t="str">
        <f t="shared" si="0"/>
        <v>kit parafuso porca arruela lisa aco carbono arruela vedacao furacao pn16 nbr 7675 dn100</v>
      </c>
      <c r="D80" t="s">
        <v>871</v>
      </c>
    </row>
    <row r="81" spans="2:4">
      <c r="B81" t="str">
        <f t="shared" si="0"/>
        <v>kit parafuso porca arruela lisa aco carbono arruela vedacao furacao pn16 para valvulas borboleta wafer awwa c504 nbr 7675 dn80</v>
      </c>
      <c r="D81" t="s">
        <v>872</v>
      </c>
    </row>
    <row r="82" spans="2:4">
      <c r="B82" t="str">
        <f t="shared" si="0"/>
        <v>kit parafuso porca arruela lisa aco inox arruela vedacao furacao para esgoto pn10 nbr 7675 dn150</v>
      </c>
      <c r="D82" t="s">
        <v>680</v>
      </c>
    </row>
    <row r="83" spans="2:4">
      <c r="B83" t="str">
        <f>LOWER(D83)</f>
        <v>extremidade fd pf 700mm com aba de vedacao para esgoto pn16 dn80</v>
      </c>
      <c r="D83" t="s">
        <v>874</v>
      </c>
    </row>
  </sheetData>
  <mergeCells count="8189">
    <mergeCell ref="S33:T33"/>
    <mergeCell ref="U33:V33"/>
    <mergeCell ref="W33:X33"/>
    <mergeCell ref="Y33:Z33"/>
    <mergeCell ref="AA33:AB33"/>
    <mergeCell ref="I33:J33"/>
    <mergeCell ref="K33:L33"/>
    <mergeCell ref="M33:N33"/>
    <mergeCell ref="O33:P33"/>
    <mergeCell ref="Q33:R33"/>
    <mergeCell ref="B2:E2"/>
    <mergeCell ref="BG33:BH33"/>
    <mergeCell ref="BI33:BJ33"/>
    <mergeCell ref="BK33:BL33"/>
    <mergeCell ref="BM33:BN33"/>
    <mergeCell ref="BO33:BP33"/>
    <mergeCell ref="AW33:AX33"/>
    <mergeCell ref="AY33:AZ33"/>
    <mergeCell ref="BA33:BB33"/>
    <mergeCell ref="BC33:BD33"/>
    <mergeCell ref="BE33:BF33"/>
    <mergeCell ref="AM33:AN33"/>
    <mergeCell ref="AO33:AP33"/>
    <mergeCell ref="AQ33:AR33"/>
    <mergeCell ref="AS33:AT33"/>
    <mergeCell ref="AU33:AV33"/>
    <mergeCell ref="AC33:AD33"/>
    <mergeCell ref="AE33:AF33"/>
    <mergeCell ref="AG33:AH33"/>
    <mergeCell ref="AI33:AJ33"/>
    <mergeCell ref="AK33:AL33"/>
    <mergeCell ref="CU33:CV33"/>
    <mergeCell ref="CW33:CX33"/>
    <mergeCell ref="CY33:CZ33"/>
    <mergeCell ref="DA33:DB33"/>
    <mergeCell ref="DC33:DD33"/>
    <mergeCell ref="CK33:CL33"/>
    <mergeCell ref="CM33:CN33"/>
    <mergeCell ref="CO33:CP33"/>
    <mergeCell ref="CQ33:CR33"/>
    <mergeCell ref="CS33:CT33"/>
    <mergeCell ref="CA33:CB33"/>
    <mergeCell ref="CC33:CD33"/>
    <mergeCell ref="CE33:CF33"/>
    <mergeCell ref="CG33:CH33"/>
    <mergeCell ref="CI33:CJ33"/>
    <mergeCell ref="BQ33:BR33"/>
    <mergeCell ref="BS33:BT33"/>
    <mergeCell ref="BU33:BV33"/>
    <mergeCell ref="BW33:BX33"/>
    <mergeCell ref="BY33:BZ33"/>
    <mergeCell ref="EI33:EJ33"/>
    <mergeCell ref="EK33:EL33"/>
    <mergeCell ref="EM33:EN33"/>
    <mergeCell ref="EO33:EP33"/>
    <mergeCell ref="EQ33:ER33"/>
    <mergeCell ref="DY33:DZ33"/>
    <mergeCell ref="EA33:EB33"/>
    <mergeCell ref="EC33:ED33"/>
    <mergeCell ref="EE33:EF33"/>
    <mergeCell ref="EG33:EH33"/>
    <mergeCell ref="DO33:DP33"/>
    <mergeCell ref="DQ33:DR33"/>
    <mergeCell ref="DS33:DT33"/>
    <mergeCell ref="DU33:DV33"/>
    <mergeCell ref="DW33:DX33"/>
    <mergeCell ref="DE33:DF33"/>
    <mergeCell ref="DG33:DH33"/>
    <mergeCell ref="DI33:DJ33"/>
    <mergeCell ref="DK33:DL33"/>
    <mergeCell ref="DM33:DN33"/>
    <mergeCell ref="FW33:FX33"/>
    <mergeCell ref="FY33:FZ33"/>
    <mergeCell ref="GA33:GB33"/>
    <mergeCell ref="GC33:GD33"/>
    <mergeCell ref="GE33:GF33"/>
    <mergeCell ref="FM33:FN33"/>
    <mergeCell ref="FO33:FP33"/>
    <mergeCell ref="FQ33:FR33"/>
    <mergeCell ref="FS33:FT33"/>
    <mergeCell ref="FU33:FV33"/>
    <mergeCell ref="FC33:FD33"/>
    <mergeCell ref="FE33:FF33"/>
    <mergeCell ref="FG33:FH33"/>
    <mergeCell ref="FI33:FJ33"/>
    <mergeCell ref="FK33:FL33"/>
    <mergeCell ref="ES33:ET33"/>
    <mergeCell ref="EU33:EV33"/>
    <mergeCell ref="EW33:EX33"/>
    <mergeCell ref="EY33:EZ33"/>
    <mergeCell ref="FA33:FB33"/>
    <mergeCell ref="HK33:HL33"/>
    <mergeCell ref="HM33:HN33"/>
    <mergeCell ref="HO33:HP33"/>
    <mergeCell ref="HQ33:HR33"/>
    <mergeCell ref="HS33:HT33"/>
    <mergeCell ref="HA33:HB33"/>
    <mergeCell ref="HC33:HD33"/>
    <mergeCell ref="HE33:HF33"/>
    <mergeCell ref="HG33:HH33"/>
    <mergeCell ref="HI33:HJ33"/>
    <mergeCell ref="GQ33:GR33"/>
    <mergeCell ref="GS33:GT33"/>
    <mergeCell ref="GU33:GV33"/>
    <mergeCell ref="GW33:GX33"/>
    <mergeCell ref="GY33:GZ33"/>
    <mergeCell ref="GG33:GH33"/>
    <mergeCell ref="GI33:GJ33"/>
    <mergeCell ref="GK33:GL33"/>
    <mergeCell ref="GM33:GN33"/>
    <mergeCell ref="GO33:GP33"/>
    <mergeCell ref="IY33:IZ33"/>
    <mergeCell ref="JA33:JB33"/>
    <mergeCell ref="JC33:JD33"/>
    <mergeCell ref="JE33:JF33"/>
    <mergeCell ref="JG33:JH33"/>
    <mergeCell ref="IO33:IP33"/>
    <mergeCell ref="IQ33:IR33"/>
    <mergeCell ref="IS33:IT33"/>
    <mergeCell ref="IU33:IV33"/>
    <mergeCell ref="IW33:IX33"/>
    <mergeCell ref="IE33:IF33"/>
    <mergeCell ref="IG33:IH33"/>
    <mergeCell ref="II33:IJ33"/>
    <mergeCell ref="IK33:IL33"/>
    <mergeCell ref="IM33:IN33"/>
    <mergeCell ref="HU33:HV33"/>
    <mergeCell ref="HW33:HX33"/>
    <mergeCell ref="HY33:HZ33"/>
    <mergeCell ref="IA33:IB33"/>
    <mergeCell ref="IC33:ID33"/>
    <mergeCell ref="KM33:KN33"/>
    <mergeCell ref="KO33:KP33"/>
    <mergeCell ref="KQ33:KR33"/>
    <mergeCell ref="KS33:KT33"/>
    <mergeCell ref="KU33:KV33"/>
    <mergeCell ref="KC33:KD33"/>
    <mergeCell ref="KE33:KF33"/>
    <mergeCell ref="KG33:KH33"/>
    <mergeCell ref="KI33:KJ33"/>
    <mergeCell ref="KK33:KL33"/>
    <mergeCell ref="JS33:JT33"/>
    <mergeCell ref="JU33:JV33"/>
    <mergeCell ref="JW33:JX33"/>
    <mergeCell ref="JY33:JZ33"/>
    <mergeCell ref="KA33:KB33"/>
    <mergeCell ref="JI33:JJ33"/>
    <mergeCell ref="JK33:JL33"/>
    <mergeCell ref="JM33:JN33"/>
    <mergeCell ref="JO33:JP33"/>
    <mergeCell ref="JQ33:JR33"/>
    <mergeCell ref="MA33:MB33"/>
    <mergeCell ref="MC33:MD33"/>
    <mergeCell ref="ME33:MF33"/>
    <mergeCell ref="MG33:MH33"/>
    <mergeCell ref="MI33:MJ33"/>
    <mergeCell ref="LQ33:LR33"/>
    <mergeCell ref="LS33:LT33"/>
    <mergeCell ref="LU33:LV33"/>
    <mergeCell ref="LW33:LX33"/>
    <mergeCell ref="LY33:LZ33"/>
    <mergeCell ref="LG33:LH33"/>
    <mergeCell ref="LI33:LJ33"/>
    <mergeCell ref="LK33:LL33"/>
    <mergeCell ref="LM33:LN33"/>
    <mergeCell ref="LO33:LP33"/>
    <mergeCell ref="KW33:KX33"/>
    <mergeCell ref="KY33:KZ33"/>
    <mergeCell ref="LA33:LB33"/>
    <mergeCell ref="LC33:LD33"/>
    <mergeCell ref="LE33:LF33"/>
    <mergeCell ref="NO33:NP33"/>
    <mergeCell ref="NQ33:NR33"/>
    <mergeCell ref="NS33:NT33"/>
    <mergeCell ref="NU33:NV33"/>
    <mergeCell ref="NW33:NX33"/>
    <mergeCell ref="NE33:NF33"/>
    <mergeCell ref="NG33:NH33"/>
    <mergeCell ref="NI33:NJ33"/>
    <mergeCell ref="NK33:NL33"/>
    <mergeCell ref="NM33:NN33"/>
    <mergeCell ref="MU33:MV33"/>
    <mergeCell ref="MW33:MX33"/>
    <mergeCell ref="MY33:MZ33"/>
    <mergeCell ref="NA33:NB33"/>
    <mergeCell ref="NC33:ND33"/>
    <mergeCell ref="MK33:ML33"/>
    <mergeCell ref="MM33:MN33"/>
    <mergeCell ref="MO33:MP33"/>
    <mergeCell ref="MQ33:MR33"/>
    <mergeCell ref="MS33:MT33"/>
    <mergeCell ref="PC33:PD33"/>
    <mergeCell ref="PE33:PF33"/>
    <mergeCell ref="PG33:PH33"/>
    <mergeCell ref="PI33:PJ33"/>
    <mergeCell ref="PK33:PL33"/>
    <mergeCell ref="OS33:OT33"/>
    <mergeCell ref="OU33:OV33"/>
    <mergeCell ref="OW33:OX33"/>
    <mergeCell ref="OY33:OZ33"/>
    <mergeCell ref="PA33:PB33"/>
    <mergeCell ref="OI33:OJ33"/>
    <mergeCell ref="OK33:OL33"/>
    <mergeCell ref="OM33:ON33"/>
    <mergeCell ref="OO33:OP33"/>
    <mergeCell ref="OQ33:OR33"/>
    <mergeCell ref="NY33:NZ33"/>
    <mergeCell ref="OA33:OB33"/>
    <mergeCell ref="OC33:OD33"/>
    <mergeCell ref="OE33:OF33"/>
    <mergeCell ref="OG33:OH33"/>
    <mergeCell ref="QQ33:QR33"/>
    <mergeCell ref="QS33:QT33"/>
    <mergeCell ref="QU33:QV33"/>
    <mergeCell ref="QW33:QX33"/>
    <mergeCell ref="QY33:QZ33"/>
    <mergeCell ref="QG33:QH33"/>
    <mergeCell ref="QI33:QJ33"/>
    <mergeCell ref="QK33:QL33"/>
    <mergeCell ref="QM33:QN33"/>
    <mergeCell ref="QO33:QP33"/>
    <mergeCell ref="PW33:PX33"/>
    <mergeCell ref="PY33:PZ33"/>
    <mergeCell ref="QA33:QB33"/>
    <mergeCell ref="QC33:QD33"/>
    <mergeCell ref="QE33:QF33"/>
    <mergeCell ref="PM33:PN33"/>
    <mergeCell ref="PO33:PP33"/>
    <mergeCell ref="PQ33:PR33"/>
    <mergeCell ref="PS33:PT33"/>
    <mergeCell ref="PU33:PV33"/>
    <mergeCell ref="SE33:SF33"/>
    <mergeCell ref="SG33:SH33"/>
    <mergeCell ref="SI33:SJ33"/>
    <mergeCell ref="SK33:SL33"/>
    <mergeCell ref="SM33:SN33"/>
    <mergeCell ref="RU33:RV33"/>
    <mergeCell ref="RW33:RX33"/>
    <mergeCell ref="RY33:RZ33"/>
    <mergeCell ref="SA33:SB33"/>
    <mergeCell ref="SC33:SD33"/>
    <mergeCell ref="RK33:RL33"/>
    <mergeCell ref="RM33:RN33"/>
    <mergeCell ref="RO33:RP33"/>
    <mergeCell ref="RQ33:RR33"/>
    <mergeCell ref="RS33:RT33"/>
    <mergeCell ref="RA33:RB33"/>
    <mergeCell ref="RC33:RD33"/>
    <mergeCell ref="RE33:RF33"/>
    <mergeCell ref="RG33:RH33"/>
    <mergeCell ref="RI33:RJ33"/>
    <mergeCell ref="TS33:TT33"/>
    <mergeCell ref="TU33:TV33"/>
    <mergeCell ref="TW33:TX33"/>
    <mergeCell ref="TY33:TZ33"/>
    <mergeCell ref="UA33:UB33"/>
    <mergeCell ref="TI33:TJ33"/>
    <mergeCell ref="TK33:TL33"/>
    <mergeCell ref="TM33:TN33"/>
    <mergeCell ref="TO33:TP33"/>
    <mergeCell ref="TQ33:TR33"/>
    <mergeCell ref="SY33:SZ33"/>
    <mergeCell ref="TA33:TB33"/>
    <mergeCell ref="TC33:TD33"/>
    <mergeCell ref="TE33:TF33"/>
    <mergeCell ref="TG33:TH33"/>
    <mergeCell ref="SO33:SP33"/>
    <mergeCell ref="SQ33:SR33"/>
    <mergeCell ref="SS33:ST33"/>
    <mergeCell ref="SU33:SV33"/>
    <mergeCell ref="SW33:SX33"/>
    <mergeCell ref="VG33:VH33"/>
    <mergeCell ref="VI33:VJ33"/>
    <mergeCell ref="VK33:VL33"/>
    <mergeCell ref="VM33:VN33"/>
    <mergeCell ref="VO33:VP33"/>
    <mergeCell ref="UW33:UX33"/>
    <mergeCell ref="UY33:UZ33"/>
    <mergeCell ref="VA33:VB33"/>
    <mergeCell ref="VC33:VD33"/>
    <mergeCell ref="VE33:VF33"/>
    <mergeCell ref="UM33:UN33"/>
    <mergeCell ref="UO33:UP33"/>
    <mergeCell ref="UQ33:UR33"/>
    <mergeCell ref="US33:UT33"/>
    <mergeCell ref="UU33:UV33"/>
    <mergeCell ref="UC33:UD33"/>
    <mergeCell ref="UE33:UF33"/>
    <mergeCell ref="UG33:UH33"/>
    <mergeCell ref="UI33:UJ33"/>
    <mergeCell ref="UK33:UL33"/>
    <mergeCell ref="WU33:WV33"/>
    <mergeCell ref="WW33:WX33"/>
    <mergeCell ref="WY33:WZ33"/>
    <mergeCell ref="XA33:XB33"/>
    <mergeCell ref="XC33:XD33"/>
    <mergeCell ref="WK33:WL33"/>
    <mergeCell ref="WM33:WN33"/>
    <mergeCell ref="WO33:WP33"/>
    <mergeCell ref="WQ33:WR33"/>
    <mergeCell ref="WS33:WT33"/>
    <mergeCell ref="WA33:WB33"/>
    <mergeCell ref="WC33:WD33"/>
    <mergeCell ref="WE33:WF33"/>
    <mergeCell ref="WG33:WH33"/>
    <mergeCell ref="WI33:WJ33"/>
    <mergeCell ref="VQ33:VR33"/>
    <mergeCell ref="VS33:VT33"/>
    <mergeCell ref="VU33:VV33"/>
    <mergeCell ref="VW33:VX33"/>
    <mergeCell ref="VY33:VZ33"/>
    <mergeCell ref="YI33:YJ33"/>
    <mergeCell ref="YK33:YL33"/>
    <mergeCell ref="YM33:YN33"/>
    <mergeCell ref="YO33:YP33"/>
    <mergeCell ref="YQ33:YR33"/>
    <mergeCell ref="XY33:XZ33"/>
    <mergeCell ref="YA33:YB33"/>
    <mergeCell ref="YC33:YD33"/>
    <mergeCell ref="YE33:YF33"/>
    <mergeCell ref="YG33:YH33"/>
    <mergeCell ref="XO33:XP33"/>
    <mergeCell ref="XQ33:XR33"/>
    <mergeCell ref="XS33:XT33"/>
    <mergeCell ref="XU33:XV33"/>
    <mergeCell ref="XW33:XX33"/>
    <mergeCell ref="XE33:XF33"/>
    <mergeCell ref="XG33:XH33"/>
    <mergeCell ref="XI33:XJ33"/>
    <mergeCell ref="XK33:XL33"/>
    <mergeCell ref="XM33:XN33"/>
    <mergeCell ref="ZW33:ZX33"/>
    <mergeCell ref="ZY33:ZZ33"/>
    <mergeCell ref="AAA33:AAB33"/>
    <mergeCell ref="AAC33:AAD33"/>
    <mergeCell ref="AAE33:AAF33"/>
    <mergeCell ref="ZM33:ZN33"/>
    <mergeCell ref="ZO33:ZP33"/>
    <mergeCell ref="ZQ33:ZR33"/>
    <mergeCell ref="ZS33:ZT33"/>
    <mergeCell ref="ZU33:ZV33"/>
    <mergeCell ref="ZC33:ZD33"/>
    <mergeCell ref="ZE33:ZF33"/>
    <mergeCell ref="ZG33:ZH33"/>
    <mergeCell ref="ZI33:ZJ33"/>
    <mergeCell ref="ZK33:ZL33"/>
    <mergeCell ref="YS33:YT33"/>
    <mergeCell ref="YU33:YV33"/>
    <mergeCell ref="YW33:YX33"/>
    <mergeCell ref="YY33:YZ33"/>
    <mergeCell ref="ZA33:ZB33"/>
    <mergeCell ref="ABK33:ABL33"/>
    <mergeCell ref="ABM33:ABN33"/>
    <mergeCell ref="ABO33:ABP33"/>
    <mergeCell ref="ABQ33:ABR33"/>
    <mergeCell ref="ABS33:ABT33"/>
    <mergeCell ref="ABA33:ABB33"/>
    <mergeCell ref="ABC33:ABD33"/>
    <mergeCell ref="ABE33:ABF33"/>
    <mergeCell ref="ABG33:ABH33"/>
    <mergeCell ref="ABI33:ABJ33"/>
    <mergeCell ref="AAQ33:AAR33"/>
    <mergeCell ref="AAS33:AAT33"/>
    <mergeCell ref="AAU33:AAV33"/>
    <mergeCell ref="AAW33:AAX33"/>
    <mergeCell ref="AAY33:AAZ33"/>
    <mergeCell ref="AAG33:AAH33"/>
    <mergeCell ref="AAI33:AAJ33"/>
    <mergeCell ref="AAK33:AAL33"/>
    <mergeCell ref="AAM33:AAN33"/>
    <mergeCell ref="AAO33:AAP33"/>
    <mergeCell ref="ACY33:ACZ33"/>
    <mergeCell ref="ADA33:ADB33"/>
    <mergeCell ref="ADC33:ADD33"/>
    <mergeCell ref="ADE33:ADF33"/>
    <mergeCell ref="ADG33:ADH33"/>
    <mergeCell ref="ACO33:ACP33"/>
    <mergeCell ref="ACQ33:ACR33"/>
    <mergeCell ref="ACS33:ACT33"/>
    <mergeCell ref="ACU33:ACV33"/>
    <mergeCell ref="ACW33:ACX33"/>
    <mergeCell ref="ACE33:ACF33"/>
    <mergeCell ref="ACG33:ACH33"/>
    <mergeCell ref="ACI33:ACJ33"/>
    <mergeCell ref="ACK33:ACL33"/>
    <mergeCell ref="ACM33:ACN33"/>
    <mergeCell ref="ABU33:ABV33"/>
    <mergeCell ref="ABW33:ABX33"/>
    <mergeCell ref="ABY33:ABZ33"/>
    <mergeCell ref="ACA33:ACB33"/>
    <mergeCell ref="ACC33:ACD33"/>
    <mergeCell ref="AEM33:AEN33"/>
    <mergeCell ref="AEO33:AEP33"/>
    <mergeCell ref="AEQ33:AER33"/>
    <mergeCell ref="AES33:AET33"/>
    <mergeCell ref="AEU33:AEV33"/>
    <mergeCell ref="AEC33:AED33"/>
    <mergeCell ref="AEE33:AEF33"/>
    <mergeCell ref="AEG33:AEH33"/>
    <mergeCell ref="AEI33:AEJ33"/>
    <mergeCell ref="AEK33:AEL33"/>
    <mergeCell ref="ADS33:ADT33"/>
    <mergeCell ref="ADU33:ADV33"/>
    <mergeCell ref="ADW33:ADX33"/>
    <mergeCell ref="ADY33:ADZ33"/>
    <mergeCell ref="AEA33:AEB33"/>
    <mergeCell ref="ADI33:ADJ33"/>
    <mergeCell ref="ADK33:ADL33"/>
    <mergeCell ref="ADM33:ADN33"/>
    <mergeCell ref="ADO33:ADP33"/>
    <mergeCell ref="ADQ33:ADR33"/>
    <mergeCell ref="AGA33:AGB33"/>
    <mergeCell ref="AGC33:AGD33"/>
    <mergeCell ref="AGE33:AGF33"/>
    <mergeCell ref="AGG33:AGH33"/>
    <mergeCell ref="AGI33:AGJ33"/>
    <mergeCell ref="AFQ33:AFR33"/>
    <mergeCell ref="AFS33:AFT33"/>
    <mergeCell ref="AFU33:AFV33"/>
    <mergeCell ref="AFW33:AFX33"/>
    <mergeCell ref="AFY33:AFZ33"/>
    <mergeCell ref="AFG33:AFH33"/>
    <mergeCell ref="AFI33:AFJ33"/>
    <mergeCell ref="AFK33:AFL33"/>
    <mergeCell ref="AFM33:AFN33"/>
    <mergeCell ref="AFO33:AFP33"/>
    <mergeCell ref="AEW33:AEX33"/>
    <mergeCell ref="AEY33:AEZ33"/>
    <mergeCell ref="AFA33:AFB33"/>
    <mergeCell ref="AFC33:AFD33"/>
    <mergeCell ref="AFE33:AFF33"/>
    <mergeCell ref="AHO33:AHP33"/>
    <mergeCell ref="AHQ33:AHR33"/>
    <mergeCell ref="AHS33:AHT33"/>
    <mergeCell ref="AHU33:AHV33"/>
    <mergeCell ref="AHW33:AHX33"/>
    <mergeCell ref="AHE33:AHF33"/>
    <mergeCell ref="AHG33:AHH33"/>
    <mergeCell ref="AHI33:AHJ33"/>
    <mergeCell ref="AHK33:AHL33"/>
    <mergeCell ref="AHM33:AHN33"/>
    <mergeCell ref="AGU33:AGV33"/>
    <mergeCell ref="AGW33:AGX33"/>
    <mergeCell ref="AGY33:AGZ33"/>
    <mergeCell ref="AHA33:AHB33"/>
    <mergeCell ref="AHC33:AHD33"/>
    <mergeCell ref="AGK33:AGL33"/>
    <mergeCell ref="AGM33:AGN33"/>
    <mergeCell ref="AGO33:AGP33"/>
    <mergeCell ref="AGQ33:AGR33"/>
    <mergeCell ref="AGS33:AGT33"/>
    <mergeCell ref="AJC33:AJD33"/>
    <mergeCell ref="AJE33:AJF33"/>
    <mergeCell ref="AJG33:AJH33"/>
    <mergeCell ref="AJI33:AJJ33"/>
    <mergeCell ref="AJK33:AJL33"/>
    <mergeCell ref="AIS33:AIT33"/>
    <mergeCell ref="AIU33:AIV33"/>
    <mergeCell ref="AIW33:AIX33"/>
    <mergeCell ref="AIY33:AIZ33"/>
    <mergeCell ref="AJA33:AJB33"/>
    <mergeCell ref="AII33:AIJ33"/>
    <mergeCell ref="AIK33:AIL33"/>
    <mergeCell ref="AIM33:AIN33"/>
    <mergeCell ref="AIO33:AIP33"/>
    <mergeCell ref="AIQ33:AIR33"/>
    <mergeCell ref="AHY33:AHZ33"/>
    <mergeCell ref="AIA33:AIB33"/>
    <mergeCell ref="AIC33:AID33"/>
    <mergeCell ref="AIE33:AIF33"/>
    <mergeCell ref="AIG33:AIH33"/>
    <mergeCell ref="AKQ33:AKR33"/>
    <mergeCell ref="AKS33:AKT33"/>
    <mergeCell ref="AKU33:AKV33"/>
    <mergeCell ref="AKW33:AKX33"/>
    <mergeCell ref="AKY33:AKZ33"/>
    <mergeCell ref="AKG33:AKH33"/>
    <mergeCell ref="AKI33:AKJ33"/>
    <mergeCell ref="AKK33:AKL33"/>
    <mergeCell ref="AKM33:AKN33"/>
    <mergeCell ref="AKO33:AKP33"/>
    <mergeCell ref="AJW33:AJX33"/>
    <mergeCell ref="AJY33:AJZ33"/>
    <mergeCell ref="AKA33:AKB33"/>
    <mergeCell ref="AKC33:AKD33"/>
    <mergeCell ref="AKE33:AKF33"/>
    <mergeCell ref="AJM33:AJN33"/>
    <mergeCell ref="AJO33:AJP33"/>
    <mergeCell ref="AJQ33:AJR33"/>
    <mergeCell ref="AJS33:AJT33"/>
    <mergeCell ref="AJU33:AJV33"/>
    <mergeCell ref="AME33:AMF33"/>
    <mergeCell ref="AMG33:AMH33"/>
    <mergeCell ref="AMI33:AMJ33"/>
    <mergeCell ref="AMK33:AML33"/>
    <mergeCell ref="AMM33:AMN33"/>
    <mergeCell ref="ALU33:ALV33"/>
    <mergeCell ref="ALW33:ALX33"/>
    <mergeCell ref="ALY33:ALZ33"/>
    <mergeCell ref="AMA33:AMB33"/>
    <mergeCell ref="AMC33:AMD33"/>
    <mergeCell ref="ALK33:ALL33"/>
    <mergeCell ref="ALM33:ALN33"/>
    <mergeCell ref="ALO33:ALP33"/>
    <mergeCell ref="ALQ33:ALR33"/>
    <mergeCell ref="ALS33:ALT33"/>
    <mergeCell ref="ALA33:ALB33"/>
    <mergeCell ref="ALC33:ALD33"/>
    <mergeCell ref="ALE33:ALF33"/>
    <mergeCell ref="ALG33:ALH33"/>
    <mergeCell ref="ALI33:ALJ33"/>
    <mergeCell ref="ANS33:ANT33"/>
    <mergeCell ref="ANU33:ANV33"/>
    <mergeCell ref="ANW33:ANX33"/>
    <mergeCell ref="ANY33:ANZ33"/>
    <mergeCell ref="AOA33:AOB33"/>
    <mergeCell ref="ANI33:ANJ33"/>
    <mergeCell ref="ANK33:ANL33"/>
    <mergeCell ref="ANM33:ANN33"/>
    <mergeCell ref="ANO33:ANP33"/>
    <mergeCell ref="ANQ33:ANR33"/>
    <mergeCell ref="AMY33:AMZ33"/>
    <mergeCell ref="ANA33:ANB33"/>
    <mergeCell ref="ANC33:AND33"/>
    <mergeCell ref="ANE33:ANF33"/>
    <mergeCell ref="ANG33:ANH33"/>
    <mergeCell ref="AMO33:AMP33"/>
    <mergeCell ref="AMQ33:AMR33"/>
    <mergeCell ref="AMS33:AMT33"/>
    <mergeCell ref="AMU33:AMV33"/>
    <mergeCell ref="AMW33:AMX33"/>
    <mergeCell ref="APG33:APH33"/>
    <mergeCell ref="API33:APJ33"/>
    <mergeCell ref="APK33:APL33"/>
    <mergeCell ref="APM33:APN33"/>
    <mergeCell ref="APO33:APP33"/>
    <mergeCell ref="AOW33:AOX33"/>
    <mergeCell ref="AOY33:AOZ33"/>
    <mergeCell ref="APA33:APB33"/>
    <mergeCell ref="APC33:APD33"/>
    <mergeCell ref="APE33:APF33"/>
    <mergeCell ref="AOM33:AON33"/>
    <mergeCell ref="AOO33:AOP33"/>
    <mergeCell ref="AOQ33:AOR33"/>
    <mergeCell ref="AOS33:AOT33"/>
    <mergeCell ref="AOU33:AOV33"/>
    <mergeCell ref="AOC33:AOD33"/>
    <mergeCell ref="AOE33:AOF33"/>
    <mergeCell ref="AOG33:AOH33"/>
    <mergeCell ref="AOI33:AOJ33"/>
    <mergeCell ref="AOK33:AOL33"/>
    <mergeCell ref="AQU33:AQV33"/>
    <mergeCell ref="AQW33:AQX33"/>
    <mergeCell ref="AQY33:AQZ33"/>
    <mergeCell ref="ARA33:ARB33"/>
    <mergeCell ref="ARC33:ARD33"/>
    <mergeCell ref="AQK33:AQL33"/>
    <mergeCell ref="AQM33:AQN33"/>
    <mergeCell ref="AQO33:AQP33"/>
    <mergeCell ref="AQQ33:AQR33"/>
    <mergeCell ref="AQS33:AQT33"/>
    <mergeCell ref="AQA33:AQB33"/>
    <mergeCell ref="AQC33:AQD33"/>
    <mergeCell ref="AQE33:AQF33"/>
    <mergeCell ref="AQG33:AQH33"/>
    <mergeCell ref="AQI33:AQJ33"/>
    <mergeCell ref="APQ33:APR33"/>
    <mergeCell ref="APS33:APT33"/>
    <mergeCell ref="APU33:APV33"/>
    <mergeCell ref="APW33:APX33"/>
    <mergeCell ref="APY33:APZ33"/>
    <mergeCell ref="ASI33:ASJ33"/>
    <mergeCell ref="ASK33:ASL33"/>
    <mergeCell ref="ASM33:ASN33"/>
    <mergeCell ref="ASO33:ASP33"/>
    <mergeCell ref="ASQ33:ASR33"/>
    <mergeCell ref="ARY33:ARZ33"/>
    <mergeCell ref="ASA33:ASB33"/>
    <mergeCell ref="ASC33:ASD33"/>
    <mergeCell ref="ASE33:ASF33"/>
    <mergeCell ref="ASG33:ASH33"/>
    <mergeCell ref="ARO33:ARP33"/>
    <mergeCell ref="ARQ33:ARR33"/>
    <mergeCell ref="ARS33:ART33"/>
    <mergeCell ref="ARU33:ARV33"/>
    <mergeCell ref="ARW33:ARX33"/>
    <mergeCell ref="ARE33:ARF33"/>
    <mergeCell ref="ARG33:ARH33"/>
    <mergeCell ref="ARI33:ARJ33"/>
    <mergeCell ref="ARK33:ARL33"/>
    <mergeCell ref="ARM33:ARN33"/>
    <mergeCell ref="ATW33:ATX33"/>
    <mergeCell ref="ATY33:ATZ33"/>
    <mergeCell ref="AUA33:AUB33"/>
    <mergeCell ref="AUC33:AUD33"/>
    <mergeCell ref="AUE33:AUF33"/>
    <mergeCell ref="ATM33:ATN33"/>
    <mergeCell ref="ATO33:ATP33"/>
    <mergeCell ref="ATQ33:ATR33"/>
    <mergeCell ref="ATS33:ATT33"/>
    <mergeCell ref="ATU33:ATV33"/>
    <mergeCell ref="ATC33:ATD33"/>
    <mergeCell ref="ATE33:ATF33"/>
    <mergeCell ref="ATG33:ATH33"/>
    <mergeCell ref="ATI33:ATJ33"/>
    <mergeCell ref="ATK33:ATL33"/>
    <mergeCell ref="ASS33:AST33"/>
    <mergeCell ref="ASU33:ASV33"/>
    <mergeCell ref="ASW33:ASX33"/>
    <mergeCell ref="ASY33:ASZ33"/>
    <mergeCell ref="ATA33:ATB33"/>
    <mergeCell ref="AVK33:AVL33"/>
    <mergeCell ref="AVM33:AVN33"/>
    <mergeCell ref="AVO33:AVP33"/>
    <mergeCell ref="AVQ33:AVR33"/>
    <mergeCell ref="AVS33:AVT33"/>
    <mergeCell ref="AVA33:AVB33"/>
    <mergeCell ref="AVC33:AVD33"/>
    <mergeCell ref="AVE33:AVF33"/>
    <mergeCell ref="AVG33:AVH33"/>
    <mergeCell ref="AVI33:AVJ33"/>
    <mergeCell ref="AUQ33:AUR33"/>
    <mergeCell ref="AUS33:AUT33"/>
    <mergeCell ref="AUU33:AUV33"/>
    <mergeCell ref="AUW33:AUX33"/>
    <mergeCell ref="AUY33:AUZ33"/>
    <mergeCell ref="AUG33:AUH33"/>
    <mergeCell ref="AUI33:AUJ33"/>
    <mergeCell ref="AUK33:AUL33"/>
    <mergeCell ref="AUM33:AUN33"/>
    <mergeCell ref="AUO33:AUP33"/>
    <mergeCell ref="AWY33:AWZ33"/>
    <mergeCell ref="AXA33:AXB33"/>
    <mergeCell ref="AXC33:AXD33"/>
    <mergeCell ref="AXE33:AXF33"/>
    <mergeCell ref="AXG33:AXH33"/>
    <mergeCell ref="AWO33:AWP33"/>
    <mergeCell ref="AWQ33:AWR33"/>
    <mergeCell ref="AWS33:AWT33"/>
    <mergeCell ref="AWU33:AWV33"/>
    <mergeCell ref="AWW33:AWX33"/>
    <mergeCell ref="AWE33:AWF33"/>
    <mergeCell ref="AWG33:AWH33"/>
    <mergeCell ref="AWI33:AWJ33"/>
    <mergeCell ref="AWK33:AWL33"/>
    <mergeCell ref="AWM33:AWN33"/>
    <mergeCell ref="AVU33:AVV33"/>
    <mergeCell ref="AVW33:AVX33"/>
    <mergeCell ref="AVY33:AVZ33"/>
    <mergeCell ref="AWA33:AWB33"/>
    <mergeCell ref="AWC33:AWD33"/>
    <mergeCell ref="AYM33:AYN33"/>
    <mergeCell ref="AYO33:AYP33"/>
    <mergeCell ref="AYQ33:AYR33"/>
    <mergeCell ref="AYS33:AYT33"/>
    <mergeCell ref="AYU33:AYV33"/>
    <mergeCell ref="AYC33:AYD33"/>
    <mergeCell ref="AYE33:AYF33"/>
    <mergeCell ref="AYG33:AYH33"/>
    <mergeCell ref="AYI33:AYJ33"/>
    <mergeCell ref="AYK33:AYL33"/>
    <mergeCell ref="AXS33:AXT33"/>
    <mergeCell ref="AXU33:AXV33"/>
    <mergeCell ref="AXW33:AXX33"/>
    <mergeCell ref="AXY33:AXZ33"/>
    <mergeCell ref="AYA33:AYB33"/>
    <mergeCell ref="AXI33:AXJ33"/>
    <mergeCell ref="AXK33:AXL33"/>
    <mergeCell ref="AXM33:AXN33"/>
    <mergeCell ref="AXO33:AXP33"/>
    <mergeCell ref="AXQ33:AXR33"/>
    <mergeCell ref="BAA33:BAB33"/>
    <mergeCell ref="BAC33:BAD33"/>
    <mergeCell ref="BAE33:BAF33"/>
    <mergeCell ref="BAG33:BAH33"/>
    <mergeCell ref="BAI33:BAJ33"/>
    <mergeCell ref="AZQ33:AZR33"/>
    <mergeCell ref="AZS33:AZT33"/>
    <mergeCell ref="AZU33:AZV33"/>
    <mergeCell ref="AZW33:AZX33"/>
    <mergeCell ref="AZY33:AZZ33"/>
    <mergeCell ref="AZG33:AZH33"/>
    <mergeCell ref="AZI33:AZJ33"/>
    <mergeCell ref="AZK33:AZL33"/>
    <mergeCell ref="AZM33:AZN33"/>
    <mergeCell ref="AZO33:AZP33"/>
    <mergeCell ref="AYW33:AYX33"/>
    <mergeCell ref="AYY33:AYZ33"/>
    <mergeCell ref="AZA33:AZB33"/>
    <mergeCell ref="AZC33:AZD33"/>
    <mergeCell ref="AZE33:AZF33"/>
    <mergeCell ref="BBO33:BBP33"/>
    <mergeCell ref="BBQ33:BBR33"/>
    <mergeCell ref="BBS33:BBT33"/>
    <mergeCell ref="BBU33:BBV33"/>
    <mergeCell ref="BBW33:BBX33"/>
    <mergeCell ref="BBE33:BBF33"/>
    <mergeCell ref="BBG33:BBH33"/>
    <mergeCell ref="BBI33:BBJ33"/>
    <mergeCell ref="BBK33:BBL33"/>
    <mergeCell ref="BBM33:BBN33"/>
    <mergeCell ref="BAU33:BAV33"/>
    <mergeCell ref="BAW33:BAX33"/>
    <mergeCell ref="BAY33:BAZ33"/>
    <mergeCell ref="BBA33:BBB33"/>
    <mergeCell ref="BBC33:BBD33"/>
    <mergeCell ref="BAK33:BAL33"/>
    <mergeCell ref="BAM33:BAN33"/>
    <mergeCell ref="BAO33:BAP33"/>
    <mergeCell ref="BAQ33:BAR33"/>
    <mergeCell ref="BAS33:BAT33"/>
    <mergeCell ref="BDC33:BDD33"/>
    <mergeCell ref="BDE33:BDF33"/>
    <mergeCell ref="BDG33:BDH33"/>
    <mergeCell ref="BDI33:BDJ33"/>
    <mergeCell ref="BDK33:BDL33"/>
    <mergeCell ref="BCS33:BCT33"/>
    <mergeCell ref="BCU33:BCV33"/>
    <mergeCell ref="BCW33:BCX33"/>
    <mergeCell ref="BCY33:BCZ33"/>
    <mergeCell ref="BDA33:BDB33"/>
    <mergeCell ref="BCI33:BCJ33"/>
    <mergeCell ref="BCK33:BCL33"/>
    <mergeCell ref="BCM33:BCN33"/>
    <mergeCell ref="BCO33:BCP33"/>
    <mergeCell ref="BCQ33:BCR33"/>
    <mergeCell ref="BBY33:BBZ33"/>
    <mergeCell ref="BCA33:BCB33"/>
    <mergeCell ref="BCC33:BCD33"/>
    <mergeCell ref="BCE33:BCF33"/>
    <mergeCell ref="BCG33:BCH33"/>
    <mergeCell ref="BEQ33:BER33"/>
    <mergeCell ref="BES33:BET33"/>
    <mergeCell ref="BEU33:BEV33"/>
    <mergeCell ref="BEW33:BEX33"/>
    <mergeCell ref="BEY33:BEZ33"/>
    <mergeCell ref="BEG33:BEH33"/>
    <mergeCell ref="BEI33:BEJ33"/>
    <mergeCell ref="BEK33:BEL33"/>
    <mergeCell ref="BEM33:BEN33"/>
    <mergeCell ref="BEO33:BEP33"/>
    <mergeCell ref="BDW33:BDX33"/>
    <mergeCell ref="BDY33:BDZ33"/>
    <mergeCell ref="BEA33:BEB33"/>
    <mergeCell ref="BEC33:BED33"/>
    <mergeCell ref="BEE33:BEF33"/>
    <mergeCell ref="BDM33:BDN33"/>
    <mergeCell ref="BDO33:BDP33"/>
    <mergeCell ref="BDQ33:BDR33"/>
    <mergeCell ref="BDS33:BDT33"/>
    <mergeCell ref="BDU33:BDV33"/>
    <mergeCell ref="BGE33:BGF33"/>
    <mergeCell ref="BGG33:BGH33"/>
    <mergeCell ref="BGI33:BGJ33"/>
    <mergeCell ref="BGK33:BGL33"/>
    <mergeCell ref="BGM33:BGN33"/>
    <mergeCell ref="BFU33:BFV33"/>
    <mergeCell ref="BFW33:BFX33"/>
    <mergeCell ref="BFY33:BFZ33"/>
    <mergeCell ref="BGA33:BGB33"/>
    <mergeCell ref="BGC33:BGD33"/>
    <mergeCell ref="BFK33:BFL33"/>
    <mergeCell ref="BFM33:BFN33"/>
    <mergeCell ref="BFO33:BFP33"/>
    <mergeCell ref="BFQ33:BFR33"/>
    <mergeCell ref="BFS33:BFT33"/>
    <mergeCell ref="BFA33:BFB33"/>
    <mergeCell ref="BFC33:BFD33"/>
    <mergeCell ref="BFE33:BFF33"/>
    <mergeCell ref="BFG33:BFH33"/>
    <mergeCell ref="BFI33:BFJ33"/>
    <mergeCell ref="BHS33:BHT33"/>
    <mergeCell ref="BHU33:BHV33"/>
    <mergeCell ref="BHW33:BHX33"/>
    <mergeCell ref="BHY33:BHZ33"/>
    <mergeCell ref="BIA33:BIB33"/>
    <mergeCell ref="BHI33:BHJ33"/>
    <mergeCell ref="BHK33:BHL33"/>
    <mergeCell ref="BHM33:BHN33"/>
    <mergeCell ref="BHO33:BHP33"/>
    <mergeCell ref="BHQ33:BHR33"/>
    <mergeCell ref="BGY33:BGZ33"/>
    <mergeCell ref="BHA33:BHB33"/>
    <mergeCell ref="BHC33:BHD33"/>
    <mergeCell ref="BHE33:BHF33"/>
    <mergeCell ref="BHG33:BHH33"/>
    <mergeCell ref="BGO33:BGP33"/>
    <mergeCell ref="BGQ33:BGR33"/>
    <mergeCell ref="BGS33:BGT33"/>
    <mergeCell ref="BGU33:BGV33"/>
    <mergeCell ref="BGW33:BGX33"/>
    <mergeCell ref="BJG33:BJH33"/>
    <mergeCell ref="BJI33:BJJ33"/>
    <mergeCell ref="BJK33:BJL33"/>
    <mergeCell ref="BJM33:BJN33"/>
    <mergeCell ref="BJO33:BJP33"/>
    <mergeCell ref="BIW33:BIX33"/>
    <mergeCell ref="BIY33:BIZ33"/>
    <mergeCell ref="BJA33:BJB33"/>
    <mergeCell ref="BJC33:BJD33"/>
    <mergeCell ref="BJE33:BJF33"/>
    <mergeCell ref="BIM33:BIN33"/>
    <mergeCell ref="BIO33:BIP33"/>
    <mergeCell ref="BIQ33:BIR33"/>
    <mergeCell ref="BIS33:BIT33"/>
    <mergeCell ref="BIU33:BIV33"/>
    <mergeCell ref="BIC33:BID33"/>
    <mergeCell ref="BIE33:BIF33"/>
    <mergeCell ref="BIG33:BIH33"/>
    <mergeCell ref="BII33:BIJ33"/>
    <mergeCell ref="BIK33:BIL33"/>
    <mergeCell ref="BKU33:BKV33"/>
    <mergeCell ref="BKW33:BKX33"/>
    <mergeCell ref="BKY33:BKZ33"/>
    <mergeCell ref="BLA33:BLB33"/>
    <mergeCell ref="BLC33:BLD33"/>
    <mergeCell ref="BKK33:BKL33"/>
    <mergeCell ref="BKM33:BKN33"/>
    <mergeCell ref="BKO33:BKP33"/>
    <mergeCell ref="BKQ33:BKR33"/>
    <mergeCell ref="BKS33:BKT33"/>
    <mergeCell ref="BKA33:BKB33"/>
    <mergeCell ref="BKC33:BKD33"/>
    <mergeCell ref="BKE33:BKF33"/>
    <mergeCell ref="BKG33:BKH33"/>
    <mergeCell ref="BKI33:BKJ33"/>
    <mergeCell ref="BJQ33:BJR33"/>
    <mergeCell ref="BJS33:BJT33"/>
    <mergeCell ref="BJU33:BJV33"/>
    <mergeCell ref="BJW33:BJX33"/>
    <mergeCell ref="BJY33:BJZ33"/>
    <mergeCell ref="BMI33:BMJ33"/>
    <mergeCell ref="BMK33:BML33"/>
    <mergeCell ref="BMM33:BMN33"/>
    <mergeCell ref="BMO33:BMP33"/>
    <mergeCell ref="BMQ33:BMR33"/>
    <mergeCell ref="BLY33:BLZ33"/>
    <mergeCell ref="BMA33:BMB33"/>
    <mergeCell ref="BMC33:BMD33"/>
    <mergeCell ref="BME33:BMF33"/>
    <mergeCell ref="BMG33:BMH33"/>
    <mergeCell ref="BLO33:BLP33"/>
    <mergeCell ref="BLQ33:BLR33"/>
    <mergeCell ref="BLS33:BLT33"/>
    <mergeCell ref="BLU33:BLV33"/>
    <mergeCell ref="BLW33:BLX33"/>
    <mergeCell ref="BLE33:BLF33"/>
    <mergeCell ref="BLG33:BLH33"/>
    <mergeCell ref="BLI33:BLJ33"/>
    <mergeCell ref="BLK33:BLL33"/>
    <mergeCell ref="BLM33:BLN33"/>
    <mergeCell ref="BNW33:BNX33"/>
    <mergeCell ref="BNY33:BNZ33"/>
    <mergeCell ref="BOA33:BOB33"/>
    <mergeCell ref="BOC33:BOD33"/>
    <mergeCell ref="BOE33:BOF33"/>
    <mergeCell ref="BNM33:BNN33"/>
    <mergeCell ref="BNO33:BNP33"/>
    <mergeCell ref="BNQ33:BNR33"/>
    <mergeCell ref="BNS33:BNT33"/>
    <mergeCell ref="BNU33:BNV33"/>
    <mergeCell ref="BNC33:BND33"/>
    <mergeCell ref="BNE33:BNF33"/>
    <mergeCell ref="BNG33:BNH33"/>
    <mergeCell ref="BNI33:BNJ33"/>
    <mergeCell ref="BNK33:BNL33"/>
    <mergeCell ref="BMS33:BMT33"/>
    <mergeCell ref="BMU33:BMV33"/>
    <mergeCell ref="BMW33:BMX33"/>
    <mergeCell ref="BMY33:BMZ33"/>
    <mergeCell ref="BNA33:BNB33"/>
    <mergeCell ref="BPK33:BPL33"/>
    <mergeCell ref="BPM33:BPN33"/>
    <mergeCell ref="BPO33:BPP33"/>
    <mergeCell ref="BPQ33:BPR33"/>
    <mergeCell ref="BPS33:BPT33"/>
    <mergeCell ref="BPA33:BPB33"/>
    <mergeCell ref="BPC33:BPD33"/>
    <mergeCell ref="BPE33:BPF33"/>
    <mergeCell ref="BPG33:BPH33"/>
    <mergeCell ref="BPI33:BPJ33"/>
    <mergeCell ref="BOQ33:BOR33"/>
    <mergeCell ref="BOS33:BOT33"/>
    <mergeCell ref="BOU33:BOV33"/>
    <mergeCell ref="BOW33:BOX33"/>
    <mergeCell ref="BOY33:BOZ33"/>
    <mergeCell ref="BOG33:BOH33"/>
    <mergeCell ref="BOI33:BOJ33"/>
    <mergeCell ref="BOK33:BOL33"/>
    <mergeCell ref="BOM33:BON33"/>
    <mergeCell ref="BOO33:BOP33"/>
    <mergeCell ref="BQY33:BQZ33"/>
    <mergeCell ref="BRA33:BRB33"/>
    <mergeCell ref="BRC33:BRD33"/>
    <mergeCell ref="BRE33:BRF33"/>
    <mergeCell ref="BRG33:BRH33"/>
    <mergeCell ref="BQO33:BQP33"/>
    <mergeCell ref="BQQ33:BQR33"/>
    <mergeCell ref="BQS33:BQT33"/>
    <mergeCell ref="BQU33:BQV33"/>
    <mergeCell ref="BQW33:BQX33"/>
    <mergeCell ref="BQE33:BQF33"/>
    <mergeCell ref="BQG33:BQH33"/>
    <mergeCell ref="BQI33:BQJ33"/>
    <mergeCell ref="BQK33:BQL33"/>
    <mergeCell ref="BQM33:BQN33"/>
    <mergeCell ref="BPU33:BPV33"/>
    <mergeCell ref="BPW33:BPX33"/>
    <mergeCell ref="BPY33:BPZ33"/>
    <mergeCell ref="BQA33:BQB33"/>
    <mergeCell ref="BQC33:BQD33"/>
    <mergeCell ref="BSM33:BSN33"/>
    <mergeCell ref="BSO33:BSP33"/>
    <mergeCell ref="BSQ33:BSR33"/>
    <mergeCell ref="BSS33:BST33"/>
    <mergeCell ref="BSU33:BSV33"/>
    <mergeCell ref="BSC33:BSD33"/>
    <mergeCell ref="BSE33:BSF33"/>
    <mergeCell ref="BSG33:BSH33"/>
    <mergeCell ref="BSI33:BSJ33"/>
    <mergeCell ref="BSK33:BSL33"/>
    <mergeCell ref="BRS33:BRT33"/>
    <mergeCell ref="BRU33:BRV33"/>
    <mergeCell ref="BRW33:BRX33"/>
    <mergeCell ref="BRY33:BRZ33"/>
    <mergeCell ref="BSA33:BSB33"/>
    <mergeCell ref="BRI33:BRJ33"/>
    <mergeCell ref="BRK33:BRL33"/>
    <mergeCell ref="BRM33:BRN33"/>
    <mergeCell ref="BRO33:BRP33"/>
    <mergeCell ref="BRQ33:BRR33"/>
    <mergeCell ref="BUA33:BUB33"/>
    <mergeCell ref="BUC33:BUD33"/>
    <mergeCell ref="BUE33:BUF33"/>
    <mergeCell ref="BUG33:BUH33"/>
    <mergeCell ref="BUI33:BUJ33"/>
    <mergeCell ref="BTQ33:BTR33"/>
    <mergeCell ref="BTS33:BTT33"/>
    <mergeCell ref="BTU33:BTV33"/>
    <mergeCell ref="BTW33:BTX33"/>
    <mergeCell ref="BTY33:BTZ33"/>
    <mergeCell ref="BTG33:BTH33"/>
    <mergeCell ref="BTI33:BTJ33"/>
    <mergeCell ref="BTK33:BTL33"/>
    <mergeCell ref="BTM33:BTN33"/>
    <mergeCell ref="BTO33:BTP33"/>
    <mergeCell ref="BSW33:BSX33"/>
    <mergeCell ref="BSY33:BSZ33"/>
    <mergeCell ref="BTA33:BTB33"/>
    <mergeCell ref="BTC33:BTD33"/>
    <mergeCell ref="BTE33:BTF33"/>
    <mergeCell ref="BVO33:BVP33"/>
    <mergeCell ref="BVQ33:BVR33"/>
    <mergeCell ref="BVS33:BVT33"/>
    <mergeCell ref="BVU33:BVV33"/>
    <mergeCell ref="BVW33:BVX33"/>
    <mergeCell ref="BVE33:BVF33"/>
    <mergeCell ref="BVG33:BVH33"/>
    <mergeCell ref="BVI33:BVJ33"/>
    <mergeCell ref="BVK33:BVL33"/>
    <mergeCell ref="BVM33:BVN33"/>
    <mergeCell ref="BUU33:BUV33"/>
    <mergeCell ref="BUW33:BUX33"/>
    <mergeCell ref="BUY33:BUZ33"/>
    <mergeCell ref="BVA33:BVB33"/>
    <mergeCell ref="BVC33:BVD33"/>
    <mergeCell ref="BUK33:BUL33"/>
    <mergeCell ref="BUM33:BUN33"/>
    <mergeCell ref="BUO33:BUP33"/>
    <mergeCell ref="BUQ33:BUR33"/>
    <mergeCell ref="BUS33:BUT33"/>
    <mergeCell ref="BXC33:BXD33"/>
    <mergeCell ref="BXE33:BXF33"/>
    <mergeCell ref="BXG33:BXH33"/>
    <mergeCell ref="BXI33:BXJ33"/>
    <mergeCell ref="BXK33:BXL33"/>
    <mergeCell ref="BWS33:BWT33"/>
    <mergeCell ref="BWU33:BWV33"/>
    <mergeCell ref="BWW33:BWX33"/>
    <mergeCell ref="BWY33:BWZ33"/>
    <mergeCell ref="BXA33:BXB33"/>
    <mergeCell ref="BWI33:BWJ33"/>
    <mergeCell ref="BWK33:BWL33"/>
    <mergeCell ref="BWM33:BWN33"/>
    <mergeCell ref="BWO33:BWP33"/>
    <mergeCell ref="BWQ33:BWR33"/>
    <mergeCell ref="BVY33:BVZ33"/>
    <mergeCell ref="BWA33:BWB33"/>
    <mergeCell ref="BWC33:BWD33"/>
    <mergeCell ref="BWE33:BWF33"/>
    <mergeCell ref="BWG33:BWH33"/>
    <mergeCell ref="BYQ33:BYR33"/>
    <mergeCell ref="BYS33:BYT33"/>
    <mergeCell ref="BYU33:BYV33"/>
    <mergeCell ref="BYW33:BYX33"/>
    <mergeCell ref="BYY33:BYZ33"/>
    <mergeCell ref="BYG33:BYH33"/>
    <mergeCell ref="BYI33:BYJ33"/>
    <mergeCell ref="BYK33:BYL33"/>
    <mergeCell ref="BYM33:BYN33"/>
    <mergeCell ref="BYO33:BYP33"/>
    <mergeCell ref="BXW33:BXX33"/>
    <mergeCell ref="BXY33:BXZ33"/>
    <mergeCell ref="BYA33:BYB33"/>
    <mergeCell ref="BYC33:BYD33"/>
    <mergeCell ref="BYE33:BYF33"/>
    <mergeCell ref="BXM33:BXN33"/>
    <mergeCell ref="BXO33:BXP33"/>
    <mergeCell ref="BXQ33:BXR33"/>
    <mergeCell ref="BXS33:BXT33"/>
    <mergeCell ref="BXU33:BXV33"/>
    <mergeCell ref="CAE33:CAF33"/>
    <mergeCell ref="CAG33:CAH33"/>
    <mergeCell ref="CAI33:CAJ33"/>
    <mergeCell ref="CAK33:CAL33"/>
    <mergeCell ref="CAM33:CAN33"/>
    <mergeCell ref="BZU33:BZV33"/>
    <mergeCell ref="BZW33:BZX33"/>
    <mergeCell ref="BZY33:BZZ33"/>
    <mergeCell ref="CAA33:CAB33"/>
    <mergeCell ref="CAC33:CAD33"/>
    <mergeCell ref="BZK33:BZL33"/>
    <mergeCell ref="BZM33:BZN33"/>
    <mergeCell ref="BZO33:BZP33"/>
    <mergeCell ref="BZQ33:BZR33"/>
    <mergeCell ref="BZS33:BZT33"/>
    <mergeCell ref="BZA33:BZB33"/>
    <mergeCell ref="BZC33:BZD33"/>
    <mergeCell ref="BZE33:BZF33"/>
    <mergeCell ref="BZG33:BZH33"/>
    <mergeCell ref="BZI33:BZJ33"/>
    <mergeCell ref="CBS33:CBT33"/>
    <mergeCell ref="CBU33:CBV33"/>
    <mergeCell ref="CBW33:CBX33"/>
    <mergeCell ref="CBY33:CBZ33"/>
    <mergeCell ref="CCA33:CCB33"/>
    <mergeCell ref="CBI33:CBJ33"/>
    <mergeCell ref="CBK33:CBL33"/>
    <mergeCell ref="CBM33:CBN33"/>
    <mergeCell ref="CBO33:CBP33"/>
    <mergeCell ref="CBQ33:CBR33"/>
    <mergeCell ref="CAY33:CAZ33"/>
    <mergeCell ref="CBA33:CBB33"/>
    <mergeCell ref="CBC33:CBD33"/>
    <mergeCell ref="CBE33:CBF33"/>
    <mergeCell ref="CBG33:CBH33"/>
    <mergeCell ref="CAO33:CAP33"/>
    <mergeCell ref="CAQ33:CAR33"/>
    <mergeCell ref="CAS33:CAT33"/>
    <mergeCell ref="CAU33:CAV33"/>
    <mergeCell ref="CAW33:CAX33"/>
    <mergeCell ref="CDG33:CDH33"/>
    <mergeCell ref="CDI33:CDJ33"/>
    <mergeCell ref="CDK33:CDL33"/>
    <mergeCell ref="CDM33:CDN33"/>
    <mergeCell ref="CDO33:CDP33"/>
    <mergeCell ref="CCW33:CCX33"/>
    <mergeCell ref="CCY33:CCZ33"/>
    <mergeCell ref="CDA33:CDB33"/>
    <mergeCell ref="CDC33:CDD33"/>
    <mergeCell ref="CDE33:CDF33"/>
    <mergeCell ref="CCM33:CCN33"/>
    <mergeCell ref="CCO33:CCP33"/>
    <mergeCell ref="CCQ33:CCR33"/>
    <mergeCell ref="CCS33:CCT33"/>
    <mergeCell ref="CCU33:CCV33"/>
    <mergeCell ref="CCC33:CCD33"/>
    <mergeCell ref="CCE33:CCF33"/>
    <mergeCell ref="CCG33:CCH33"/>
    <mergeCell ref="CCI33:CCJ33"/>
    <mergeCell ref="CCK33:CCL33"/>
    <mergeCell ref="CEU33:CEV33"/>
    <mergeCell ref="CEW33:CEX33"/>
    <mergeCell ref="CEY33:CEZ33"/>
    <mergeCell ref="CFA33:CFB33"/>
    <mergeCell ref="CFC33:CFD33"/>
    <mergeCell ref="CEK33:CEL33"/>
    <mergeCell ref="CEM33:CEN33"/>
    <mergeCell ref="CEO33:CEP33"/>
    <mergeCell ref="CEQ33:CER33"/>
    <mergeCell ref="CES33:CET33"/>
    <mergeCell ref="CEA33:CEB33"/>
    <mergeCell ref="CEC33:CED33"/>
    <mergeCell ref="CEE33:CEF33"/>
    <mergeCell ref="CEG33:CEH33"/>
    <mergeCell ref="CEI33:CEJ33"/>
    <mergeCell ref="CDQ33:CDR33"/>
    <mergeCell ref="CDS33:CDT33"/>
    <mergeCell ref="CDU33:CDV33"/>
    <mergeCell ref="CDW33:CDX33"/>
    <mergeCell ref="CDY33:CDZ33"/>
    <mergeCell ref="CGI33:CGJ33"/>
    <mergeCell ref="CGK33:CGL33"/>
    <mergeCell ref="CGM33:CGN33"/>
    <mergeCell ref="CGO33:CGP33"/>
    <mergeCell ref="CGQ33:CGR33"/>
    <mergeCell ref="CFY33:CFZ33"/>
    <mergeCell ref="CGA33:CGB33"/>
    <mergeCell ref="CGC33:CGD33"/>
    <mergeCell ref="CGE33:CGF33"/>
    <mergeCell ref="CGG33:CGH33"/>
    <mergeCell ref="CFO33:CFP33"/>
    <mergeCell ref="CFQ33:CFR33"/>
    <mergeCell ref="CFS33:CFT33"/>
    <mergeCell ref="CFU33:CFV33"/>
    <mergeCell ref="CFW33:CFX33"/>
    <mergeCell ref="CFE33:CFF33"/>
    <mergeCell ref="CFG33:CFH33"/>
    <mergeCell ref="CFI33:CFJ33"/>
    <mergeCell ref="CFK33:CFL33"/>
    <mergeCell ref="CFM33:CFN33"/>
    <mergeCell ref="CHW33:CHX33"/>
    <mergeCell ref="CHY33:CHZ33"/>
    <mergeCell ref="CIA33:CIB33"/>
    <mergeCell ref="CIC33:CID33"/>
    <mergeCell ref="CIE33:CIF33"/>
    <mergeCell ref="CHM33:CHN33"/>
    <mergeCell ref="CHO33:CHP33"/>
    <mergeCell ref="CHQ33:CHR33"/>
    <mergeCell ref="CHS33:CHT33"/>
    <mergeCell ref="CHU33:CHV33"/>
    <mergeCell ref="CHC33:CHD33"/>
    <mergeCell ref="CHE33:CHF33"/>
    <mergeCell ref="CHG33:CHH33"/>
    <mergeCell ref="CHI33:CHJ33"/>
    <mergeCell ref="CHK33:CHL33"/>
    <mergeCell ref="CGS33:CGT33"/>
    <mergeCell ref="CGU33:CGV33"/>
    <mergeCell ref="CGW33:CGX33"/>
    <mergeCell ref="CGY33:CGZ33"/>
    <mergeCell ref="CHA33:CHB33"/>
    <mergeCell ref="CJK33:CJL33"/>
    <mergeCell ref="CJM33:CJN33"/>
    <mergeCell ref="CJO33:CJP33"/>
    <mergeCell ref="CJQ33:CJR33"/>
    <mergeCell ref="CJS33:CJT33"/>
    <mergeCell ref="CJA33:CJB33"/>
    <mergeCell ref="CJC33:CJD33"/>
    <mergeCell ref="CJE33:CJF33"/>
    <mergeCell ref="CJG33:CJH33"/>
    <mergeCell ref="CJI33:CJJ33"/>
    <mergeCell ref="CIQ33:CIR33"/>
    <mergeCell ref="CIS33:CIT33"/>
    <mergeCell ref="CIU33:CIV33"/>
    <mergeCell ref="CIW33:CIX33"/>
    <mergeCell ref="CIY33:CIZ33"/>
    <mergeCell ref="CIG33:CIH33"/>
    <mergeCell ref="CII33:CIJ33"/>
    <mergeCell ref="CIK33:CIL33"/>
    <mergeCell ref="CIM33:CIN33"/>
    <mergeCell ref="CIO33:CIP33"/>
    <mergeCell ref="CKY33:CKZ33"/>
    <mergeCell ref="CLA33:CLB33"/>
    <mergeCell ref="CLC33:CLD33"/>
    <mergeCell ref="CLE33:CLF33"/>
    <mergeCell ref="CLG33:CLH33"/>
    <mergeCell ref="CKO33:CKP33"/>
    <mergeCell ref="CKQ33:CKR33"/>
    <mergeCell ref="CKS33:CKT33"/>
    <mergeCell ref="CKU33:CKV33"/>
    <mergeCell ref="CKW33:CKX33"/>
    <mergeCell ref="CKE33:CKF33"/>
    <mergeCell ref="CKG33:CKH33"/>
    <mergeCell ref="CKI33:CKJ33"/>
    <mergeCell ref="CKK33:CKL33"/>
    <mergeCell ref="CKM33:CKN33"/>
    <mergeCell ref="CJU33:CJV33"/>
    <mergeCell ref="CJW33:CJX33"/>
    <mergeCell ref="CJY33:CJZ33"/>
    <mergeCell ref="CKA33:CKB33"/>
    <mergeCell ref="CKC33:CKD33"/>
    <mergeCell ref="CMM33:CMN33"/>
    <mergeCell ref="CMO33:CMP33"/>
    <mergeCell ref="CMQ33:CMR33"/>
    <mergeCell ref="CMS33:CMT33"/>
    <mergeCell ref="CMU33:CMV33"/>
    <mergeCell ref="CMC33:CMD33"/>
    <mergeCell ref="CME33:CMF33"/>
    <mergeCell ref="CMG33:CMH33"/>
    <mergeCell ref="CMI33:CMJ33"/>
    <mergeCell ref="CMK33:CML33"/>
    <mergeCell ref="CLS33:CLT33"/>
    <mergeCell ref="CLU33:CLV33"/>
    <mergeCell ref="CLW33:CLX33"/>
    <mergeCell ref="CLY33:CLZ33"/>
    <mergeCell ref="CMA33:CMB33"/>
    <mergeCell ref="CLI33:CLJ33"/>
    <mergeCell ref="CLK33:CLL33"/>
    <mergeCell ref="CLM33:CLN33"/>
    <mergeCell ref="CLO33:CLP33"/>
    <mergeCell ref="CLQ33:CLR33"/>
    <mergeCell ref="COA33:COB33"/>
    <mergeCell ref="COC33:COD33"/>
    <mergeCell ref="COE33:COF33"/>
    <mergeCell ref="COG33:COH33"/>
    <mergeCell ref="COI33:COJ33"/>
    <mergeCell ref="CNQ33:CNR33"/>
    <mergeCell ref="CNS33:CNT33"/>
    <mergeCell ref="CNU33:CNV33"/>
    <mergeCell ref="CNW33:CNX33"/>
    <mergeCell ref="CNY33:CNZ33"/>
    <mergeCell ref="CNG33:CNH33"/>
    <mergeCell ref="CNI33:CNJ33"/>
    <mergeCell ref="CNK33:CNL33"/>
    <mergeCell ref="CNM33:CNN33"/>
    <mergeCell ref="CNO33:CNP33"/>
    <mergeCell ref="CMW33:CMX33"/>
    <mergeCell ref="CMY33:CMZ33"/>
    <mergeCell ref="CNA33:CNB33"/>
    <mergeCell ref="CNC33:CND33"/>
    <mergeCell ref="CNE33:CNF33"/>
    <mergeCell ref="CPO33:CPP33"/>
    <mergeCell ref="CPQ33:CPR33"/>
    <mergeCell ref="CPS33:CPT33"/>
    <mergeCell ref="CPU33:CPV33"/>
    <mergeCell ref="CPW33:CPX33"/>
    <mergeCell ref="CPE33:CPF33"/>
    <mergeCell ref="CPG33:CPH33"/>
    <mergeCell ref="CPI33:CPJ33"/>
    <mergeCell ref="CPK33:CPL33"/>
    <mergeCell ref="CPM33:CPN33"/>
    <mergeCell ref="COU33:COV33"/>
    <mergeCell ref="COW33:COX33"/>
    <mergeCell ref="COY33:COZ33"/>
    <mergeCell ref="CPA33:CPB33"/>
    <mergeCell ref="CPC33:CPD33"/>
    <mergeCell ref="COK33:COL33"/>
    <mergeCell ref="COM33:CON33"/>
    <mergeCell ref="COO33:COP33"/>
    <mergeCell ref="COQ33:COR33"/>
    <mergeCell ref="COS33:COT33"/>
    <mergeCell ref="CRC33:CRD33"/>
    <mergeCell ref="CRE33:CRF33"/>
    <mergeCell ref="CRG33:CRH33"/>
    <mergeCell ref="CRI33:CRJ33"/>
    <mergeCell ref="CRK33:CRL33"/>
    <mergeCell ref="CQS33:CQT33"/>
    <mergeCell ref="CQU33:CQV33"/>
    <mergeCell ref="CQW33:CQX33"/>
    <mergeCell ref="CQY33:CQZ33"/>
    <mergeCell ref="CRA33:CRB33"/>
    <mergeCell ref="CQI33:CQJ33"/>
    <mergeCell ref="CQK33:CQL33"/>
    <mergeCell ref="CQM33:CQN33"/>
    <mergeCell ref="CQO33:CQP33"/>
    <mergeCell ref="CQQ33:CQR33"/>
    <mergeCell ref="CPY33:CPZ33"/>
    <mergeCell ref="CQA33:CQB33"/>
    <mergeCell ref="CQC33:CQD33"/>
    <mergeCell ref="CQE33:CQF33"/>
    <mergeCell ref="CQG33:CQH33"/>
    <mergeCell ref="CSQ33:CSR33"/>
    <mergeCell ref="CSS33:CST33"/>
    <mergeCell ref="CSU33:CSV33"/>
    <mergeCell ref="CSW33:CSX33"/>
    <mergeCell ref="CSY33:CSZ33"/>
    <mergeCell ref="CSG33:CSH33"/>
    <mergeCell ref="CSI33:CSJ33"/>
    <mergeCell ref="CSK33:CSL33"/>
    <mergeCell ref="CSM33:CSN33"/>
    <mergeCell ref="CSO33:CSP33"/>
    <mergeCell ref="CRW33:CRX33"/>
    <mergeCell ref="CRY33:CRZ33"/>
    <mergeCell ref="CSA33:CSB33"/>
    <mergeCell ref="CSC33:CSD33"/>
    <mergeCell ref="CSE33:CSF33"/>
    <mergeCell ref="CRM33:CRN33"/>
    <mergeCell ref="CRO33:CRP33"/>
    <mergeCell ref="CRQ33:CRR33"/>
    <mergeCell ref="CRS33:CRT33"/>
    <mergeCell ref="CRU33:CRV33"/>
    <mergeCell ref="CUE33:CUF33"/>
    <mergeCell ref="CUG33:CUH33"/>
    <mergeCell ref="CUI33:CUJ33"/>
    <mergeCell ref="CUK33:CUL33"/>
    <mergeCell ref="CUM33:CUN33"/>
    <mergeCell ref="CTU33:CTV33"/>
    <mergeCell ref="CTW33:CTX33"/>
    <mergeCell ref="CTY33:CTZ33"/>
    <mergeCell ref="CUA33:CUB33"/>
    <mergeCell ref="CUC33:CUD33"/>
    <mergeCell ref="CTK33:CTL33"/>
    <mergeCell ref="CTM33:CTN33"/>
    <mergeCell ref="CTO33:CTP33"/>
    <mergeCell ref="CTQ33:CTR33"/>
    <mergeCell ref="CTS33:CTT33"/>
    <mergeCell ref="CTA33:CTB33"/>
    <mergeCell ref="CTC33:CTD33"/>
    <mergeCell ref="CTE33:CTF33"/>
    <mergeCell ref="CTG33:CTH33"/>
    <mergeCell ref="CTI33:CTJ33"/>
    <mergeCell ref="CVS33:CVT33"/>
    <mergeCell ref="CVU33:CVV33"/>
    <mergeCell ref="CVW33:CVX33"/>
    <mergeCell ref="CVY33:CVZ33"/>
    <mergeCell ref="CWA33:CWB33"/>
    <mergeCell ref="CVI33:CVJ33"/>
    <mergeCell ref="CVK33:CVL33"/>
    <mergeCell ref="CVM33:CVN33"/>
    <mergeCell ref="CVO33:CVP33"/>
    <mergeCell ref="CVQ33:CVR33"/>
    <mergeCell ref="CUY33:CUZ33"/>
    <mergeCell ref="CVA33:CVB33"/>
    <mergeCell ref="CVC33:CVD33"/>
    <mergeCell ref="CVE33:CVF33"/>
    <mergeCell ref="CVG33:CVH33"/>
    <mergeCell ref="CUO33:CUP33"/>
    <mergeCell ref="CUQ33:CUR33"/>
    <mergeCell ref="CUS33:CUT33"/>
    <mergeCell ref="CUU33:CUV33"/>
    <mergeCell ref="CUW33:CUX33"/>
    <mergeCell ref="CXG33:CXH33"/>
    <mergeCell ref="CXI33:CXJ33"/>
    <mergeCell ref="CXK33:CXL33"/>
    <mergeCell ref="CXM33:CXN33"/>
    <mergeCell ref="CXO33:CXP33"/>
    <mergeCell ref="CWW33:CWX33"/>
    <mergeCell ref="CWY33:CWZ33"/>
    <mergeCell ref="CXA33:CXB33"/>
    <mergeCell ref="CXC33:CXD33"/>
    <mergeCell ref="CXE33:CXF33"/>
    <mergeCell ref="CWM33:CWN33"/>
    <mergeCell ref="CWO33:CWP33"/>
    <mergeCell ref="CWQ33:CWR33"/>
    <mergeCell ref="CWS33:CWT33"/>
    <mergeCell ref="CWU33:CWV33"/>
    <mergeCell ref="CWC33:CWD33"/>
    <mergeCell ref="CWE33:CWF33"/>
    <mergeCell ref="CWG33:CWH33"/>
    <mergeCell ref="CWI33:CWJ33"/>
    <mergeCell ref="CWK33:CWL33"/>
    <mergeCell ref="CYU33:CYV33"/>
    <mergeCell ref="CYW33:CYX33"/>
    <mergeCell ref="CYY33:CYZ33"/>
    <mergeCell ref="CZA33:CZB33"/>
    <mergeCell ref="CZC33:CZD33"/>
    <mergeCell ref="CYK33:CYL33"/>
    <mergeCell ref="CYM33:CYN33"/>
    <mergeCell ref="CYO33:CYP33"/>
    <mergeCell ref="CYQ33:CYR33"/>
    <mergeCell ref="CYS33:CYT33"/>
    <mergeCell ref="CYA33:CYB33"/>
    <mergeCell ref="CYC33:CYD33"/>
    <mergeCell ref="CYE33:CYF33"/>
    <mergeCell ref="CYG33:CYH33"/>
    <mergeCell ref="CYI33:CYJ33"/>
    <mergeCell ref="CXQ33:CXR33"/>
    <mergeCell ref="CXS33:CXT33"/>
    <mergeCell ref="CXU33:CXV33"/>
    <mergeCell ref="CXW33:CXX33"/>
    <mergeCell ref="CXY33:CXZ33"/>
    <mergeCell ref="DAI33:DAJ33"/>
    <mergeCell ref="DAK33:DAL33"/>
    <mergeCell ref="DAM33:DAN33"/>
    <mergeCell ref="DAO33:DAP33"/>
    <mergeCell ref="DAQ33:DAR33"/>
    <mergeCell ref="CZY33:CZZ33"/>
    <mergeCell ref="DAA33:DAB33"/>
    <mergeCell ref="DAC33:DAD33"/>
    <mergeCell ref="DAE33:DAF33"/>
    <mergeCell ref="DAG33:DAH33"/>
    <mergeCell ref="CZO33:CZP33"/>
    <mergeCell ref="CZQ33:CZR33"/>
    <mergeCell ref="CZS33:CZT33"/>
    <mergeCell ref="CZU33:CZV33"/>
    <mergeCell ref="CZW33:CZX33"/>
    <mergeCell ref="CZE33:CZF33"/>
    <mergeCell ref="CZG33:CZH33"/>
    <mergeCell ref="CZI33:CZJ33"/>
    <mergeCell ref="CZK33:CZL33"/>
    <mergeCell ref="CZM33:CZN33"/>
    <mergeCell ref="DBW33:DBX33"/>
    <mergeCell ref="DBY33:DBZ33"/>
    <mergeCell ref="DCA33:DCB33"/>
    <mergeCell ref="DCC33:DCD33"/>
    <mergeCell ref="DCE33:DCF33"/>
    <mergeCell ref="DBM33:DBN33"/>
    <mergeCell ref="DBO33:DBP33"/>
    <mergeCell ref="DBQ33:DBR33"/>
    <mergeCell ref="DBS33:DBT33"/>
    <mergeCell ref="DBU33:DBV33"/>
    <mergeCell ref="DBC33:DBD33"/>
    <mergeCell ref="DBE33:DBF33"/>
    <mergeCell ref="DBG33:DBH33"/>
    <mergeCell ref="DBI33:DBJ33"/>
    <mergeCell ref="DBK33:DBL33"/>
    <mergeCell ref="DAS33:DAT33"/>
    <mergeCell ref="DAU33:DAV33"/>
    <mergeCell ref="DAW33:DAX33"/>
    <mergeCell ref="DAY33:DAZ33"/>
    <mergeCell ref="DBA33:DBB33"/>
    <mergeCell ref="DDK33:DDL33"/>
    <mergeCell ref="DDM33:DDN33"/>
    <mergeCell ref="DDO33:DDP33"/>
    <mergeCell ref="DDQ33:DDR33"/>
    <mergeCell ref="DDS33:DDT33"/>
    <mergeCell ref="DDA33:DDB33"/>
    <mergeCell ref="DDC33:DDD33"/>
    <mergeCell ref="DDE33:DDF33"/>
    <mergeCell ref="DDG33:DDH33"/>
    <mergeCell ref="DDI33:DDJ33"/>
    <mergeCell ref="DCQ33:DCR33"/>
    <mergeCell ref="DCS33:DCT33"/>
    <mergeCell ref="DCU33:DCV33"/>
    <mergeCell ref="DCW33:DCX33"/>
    <mergeCell ref="DCY33:DCZ33"/>
    <mergeCell ref="DCG33:DCH33"/>
    <mergeCell ref="DCI33:DCJ33"/>
    <mergeCell ref="DCK33:DCL33"/>
    <mergeCell ref="DCM33:DCN33"/>
    <mergeCell ref="DCO33:DCP33"/>
    <mergeCell ref="DEY33:DEZ33"/>
    <mergeCell ref="DFA33:DFB33"/>
    <mergeCell ref="DFC33:DFD33"/>
    <mergeCell ref="DFE33:DFF33"/>
    <mergeCell ref="DFG33:DFH33"/>
    <mergeCell ref="DEO33:DEP33"/>
    <mergeCell ref="DEQ33:DER33"/>
    <mergeCell ref="DES33:DET33"/>
    <mergeCell ref="DEU33:DEV33"/>
    <mergeCell ref="DEW33:DEX33"/>
    <mergeCell ref="DEE33:DEF33"/>
    <mergeCell ref="DEG33:DEH33"/>
    <mergeCell ref="DEI33:DEJ33"/>
    <mergeCell ref="DEK33:DEL33"/>
    <mergeCell ref="DEM33:DEN33"/>
    <mergeCell ref="DDU33:DDV33"/>
    <mergeCell ref="DDW33:DDX33"/>
    <mergeCell ref="DDY33:DDZ33"/>
    <mergeCell ref="DEA33:DEB33"/>
    <mergeCell ref="DEC33:DED33"/>
    <mergeCell ref="DGM33:DGN33"/>
    <mergeCell ref="DGO33:DGP33"/>
    <mergeCell ref="DGQ33:DGR33"/>
    <mergeCell ref="DGS33:DGT33"/>
    <mergeCell ref="DGU33:DGV33"/>
    <mergeCell ref="DGC33:DGD33"/>
    <mergeCell ref="DGE33:DGF33"/>
    <mergeCell ref="DGG33:DGH33"/>
    <mergeCell ref="DGI33:DGJ33"/>
    <mergeCell ref="DGK33:DGL33"/>
    <mergeCell ref="DFS33:DFT33"/>
    <mergeCell ref="DFU33:DFV33"/>
    <mergeCell ref="DFW33:DFX33"/>
    <mergeCell ref="DFY33:DFZ33"/>
    <mergeCell ref="DGA33:DGB33"/>
    <mergeCell ref="DFI33:DFJ33"/>
    <mergeCell ref="DFK33:DFL33"/>
    <mergeCell ref="DFM33:DFN33"/>
    <mergeCell ref="DFO33:DFP33"/>
    <mergeCell ref="DFQ33:DFR33"/>
    <mergeCell ref="DIA33:DIB33"/>
    <mergeCell ref="DIC33:DID33"/>
    <mergeCell ref="DIE33:DIF33"/>
    <mergeCell ref="DIG33:DIH33"/>
    <mergeCell ref="DII33:DIJ33"/>
    <mergeCell ref="DHQ33:DHR33"/>
    <mergeCell ref="DHS33:DHT33"/>
    <mergeCell ref="DHU33:DHV33"/>
    <mergeCell ref="DHW33:DHX33"/>
    <mergeCell ref="DHY33:DHZ33"/>
    <mergeCell ref="DHG33:DHH33"/>
    <mergeCell ref="DHI33:DHJ33"/>
    <mergeCell ref="DHK33:DHL33"/>
    <mergeCell ref="DHM33:DHN33"/>
    <mergeCell ref="DHO33:DHP33"/>
    <mergeCell ref="DGW33:DGX33"/>
    <mergeCell ref="DGY33:DGZ33"/>
    <mergeCell ref="DHA33:DHB33"/>
    <mergeCell ref="DHC33:DHD33"/>
    <mergeCell ref="DHE33:DHF33"/>
    <mergeCell ref="DJO33:DJP33"/>
    <mergeCell ref="DJQ33:DJR33"/>
    <mergeCell ref="DJS33:DJT33"/>
    <mergeCell ref="DJU33:DJV33"/>
    <mergeCell ref="DJW33:DJX33"/>
    <mergeCell ref="DJE33:DJF33"/>
    <mergeCell ref="DJG33:DJH33"/>
    <mergeCell ref="DJI33:DJJ33"/>
    <mergeCell ref="DJK33:DJL33"/>
    <mergeCell ref="DJM33:DJN33"/>
    <mergeCell ref="DIU33:DIV33"/>
    <mergeCell ref="DIW33:DIX33"/>
    <mergeCell ref="DIY33:DIZ33"/>
    <mergeCell ref="DJA33:DJB33"/>
    <mergeCell ref="DJC33:DJD33"/>
    <mergeCell ref="DIK33:DIL33"/>
    <mergeCell ref="DIM33:DIN33"/>
    <mergeCell ref="DIO33:DIP33"/>
    <mergeCell ref="DIQ33:DIR33"/>
    <mergeCell ref="DIS33:DIT33"/>
    <mergeCell ref="DLC33:DLD33"/>
    <mergeCell ref="DLE33:DLF33"/>
    <mergeCell ref="DLG33:DLH33"/>
    <mergeCell ref="DLI33:DLJ33"/>
    <mergeCell ref="DLK33:DLL33"/>
    <mergeCell ref="DKS33:DKT33"/>
    <mergeCell ref="DKU33:DKV33"/>
    <mergeCell ref="DKW33:DKX33"/>
    <mergeCell ref="DKY33:DKZ33"/>
    <mergeCell ref="DLA33:DLB33"/>
    <mergeCell ref="DKI33:DKJ33"/>
    <mergeCell ref="DKK33:DKL33"/>
    <mergeCell ref="DKM33:DKN33"/>
    <mergeCell ref="DKO33:DKP33"/>
    <mergeCell ref="DKQ33:DKR33"/>
    <mergeCell ref="DJY33:DJZ33"/>
    <mergeCell ref="DKA33:DKB33"/>
    <mergeCell ref="DKC33:DKD33"/>
    <mergeCell ref="DKE33:DKF33"/>
    <mergeCell ref="DKG33:DKH33"/>
    <mergeCell ref="DMQ33:DMR33"/>
    <mergeCell ref="DMS33:DMT33"/>
    <mergeCell ref="DMU33:DMV33"/>
    <mergeCell ref="DMW33:DMX33"/>
    <mergeCell ref="DMY33:DMZ33"/>
    <mergeCell ref="DMG33:DMH33"/>
    <mergeCell ref="DMI33:DMJ33"/>
    <mergeCell ref="DMK33:DML33"/>
    <mergeCell ref="DMM33:DMN33"/>
    <mergeCell ref="DMO33:DMP33"/>
    <mergeCell ref="DLW33:DLX33"/>
    <mergeCell ref="DLY33:DLZ33"/>
    <mergeCell ref="DMA33:DMB33"/>
    <mergeCell ref="DMC33:DMD33"/>
    <mergeCell ref="DME33:DMF33"/>
    <mergeCell ref="DLM33:DLN33"/>
    <mergeCell ref="DLO33:DLP33"/>
    <mergeCell ref="DLQ33:DLR33"/>
    <mergeCell ref="DLS33:DLT33"/>
    <mergeCell ref="DLU33:DLV33"/>
    <mergeCell ref="DOE33:DOF33"/>
    <mergeCell ref="DOG33:DOH33"/>
    <mergeCell ref="DOI33:DOJ33"/>
    <mergeCell ref="DOK33:DOL33"/>
    <mergeCell ref="DOM33:DON33"/>
    <mergeCell ref="DNU33:DNV33"/>
    <mergeCell ref="DNW33:DNX33"/>
    <mergeCell ref="DNY33:DNZ33"/>
    <mergeCell ref="DOA33:DOB33"/>
    <mergeCell ref="DOC33:DOD33"/>
    <mergeCell ref="DNK33:DNL33"/>
    <mergeCell ref="DNM33:DNN33"/>
    <mergeCell ref="DNO33:DNP33"/>
    <mergeCell ref="DNQ33:DNR33"/>
    <mergeCell ref="DNS33:DNT33"/>
    <mergeCell ref="DNA33:DNB33"/>
    <mergeCell ref="DNC33:DND33"/>
    <mergeCell ref="DNE33:DNF33"/>
    <mergeCell ref="DNG33:DNH33"/>
    <mergeCell ref="DNI33:DNJ33"/>
    <mergeCell ref="DPS33:DPT33"/>
    <mergeCell ref="DPU33:DPV33"/>
    <mergeCell ref="DPW33:DPX33"/>
    <mergeCell ref="DPY33:DPZ33"/>
    <mergeCell ref="DQA33:DQB33"/>
    <mergeCell ref="DPI33:DPJ33"/>
    <mergeCell ref="DPK33:DPL33"/>
    <mergeCell ref="DPM33:DPN33"/>
    <mergeCell ref="DPO33:DPP33"/>
    <mergeCell ref="DPQ33:DPR33"/>
    <mergeCell ref="DOY33:DOZ33"/>
    <mergeCell ref="DPA33:DPB33"/>
    <mergeCell ref="DPC33:DPD33"/>
    <mergeCell ref="DPE33:DPF33"/>
    <mergeCell ref="DPG33:DPH33"/>
    <mergeCell ref="DOO33:DOP33"/>
    <mergeCell ref="DOQ33:DOR33"/>
    <mergeCell ref="DOS33:DOT33"/>
    <mergeCell ref="DOU33:DOV33"/>
    <mergeCell ref="DOW33:DOX33"/>
    <mergeCell ref="DRG33:DRH33"/>
    <mergeCell ref="DRI33:DRJ33"/>
    <mergeCell ref="DRK33:DRL33"/>
    <mergeCell ref="DRM33:DRN33"/>
    <mergeCell ref="DRO33:DRP33"/>
    <mergeCell ref="DQW33:DQX33"/>
    <mergeCell ref="DQY33:DQZ33"/>
    <mergeCell ref="DRA33:DRB33"/>
    <mergeCell ref="DRC33:DRD33"/>
    <mergeCell ref="DRE33:DRF33"/>
    <mergeCell ref="DQM33:DQN33"/>
    <mergeCell ref="DQO33:DQP33"/>
    <mergeCell ref="DQQ33:DQR33"/>
    <mergeCell ref="DQS33:DQT33"/>
    <mergeCell ref="DQU33:DQV33"/>
    <mergeCell ref="DQC33:DQD33"/>
    <mergeCell ref="DQE33:DQF33"/>
    <mergeCell ref="DQG33:DQH33"/>
    <mergeCell ref="DQI33:DQJ33"/>
    <mergeCell ref="DQK33:DQL33"/>
    <mergeCell ref="DSU33:DSV33"/>
    <mergeCell ref="DSW33:DSX33"/>
    <mergeCell ref="DSY33:DSZ33"/>
    <mergeCell ref="DTA33:DTB33"/>
    <mergeCell ref="DTC33:DTD33"/>
    <mergeCell ref="DSK33:DSL33"/>
    <mergeCell ref="DSM33:DSN33"/>
    <mergeCell ref="DSO33:DSP33"/>
    <mergeCell ref="DSQ33:DSR33"/>
    <mergeCell ref="DSS33:DST33"/>
    <mergeCell ref="DSA33:DSB33"/>
    <mergeCell ref="DSC33:DSD33"/>
    <mergeCell ref="DSE33:DSF33"/>
    <mergeCell ref="DSG33:DSH33"/>
    <mergeCell ref="DSI33:DSJ33"/>
    <mergeCell ref="DRQ33:DRR33"/>
    <mergeCell ref="DRS33:DRT33"/>
    <mergeCell ref="DRU33:DRV33"/>
    <mergeCell ref="DRW33:DRX33"/>
    <mergeCell ref="DRY33:DRZ33"/>
    <mergeCell ref="DUI33:DUJ33"/>
    <mergeCell ref="DUK33:DUL33"/>
    <mergeCell ref="DUM33:DUN33"/>
    <mergeCell ref="DUO33:DUP33"/>
    <mergeCell ref="DUQ33:DUR33"/>
    <mergeCell ref="DTY33:DTZ33"/>
    <mergeCell ref="DUA33:DUB33"/>
    <mergeCell ref="DUC33:DUD33"/>
    <mergeCell ref="DUE33:DUF33"/>
    <mergeCell ref="DUG33:DUH33"/>
    <mergeCell ref="DTO33:DTP33"/>
    <mergeCell ref="DTQ33:DTR33"/>
    <mergeCell ref="DTS33:DTT33"/>
    <mergeCell ref="DTU33:DTV33"/>
    <mergeCell ref="DTW33:DTX33"/>
    <mergeCell ref="DTE33:DTF33"/>
    <mergeCell ref="DTG33:DTH33"/>
    <mergeCell ref="DTI33:DTJ33"/>
    <mergeCell ref="DTK33:DTL33"/>
    <mergeCell ref="DTM33:DTN33"/>
    <mergeCell ref="DVW33:DVX33"/>
    <mergeCell ref="DVY33:DVZ33"/>
    <mergeCell ref="DWA33:DWB33"/>
    <mergeCell ref="DWC33:DWD33"/>
    <mergeCell ref="DWE33:DWF33"/>
    <mergeCell ref="DVM33:DVN33"/>
    <mergeCell ref="DVO33:DVP33"/>
    <mergeCell ref="DVQ33:DVR33"/>
    <mergeCell ref="DVS33:DVT33"/>
    <mergeCell ref="DVU33:DVV33"/>
    <mergeCell ref="DVC33:DVD33"/>
    <mergeCell ref="DVE33:DVF33"/>
    <mergeCell ref="DVG33:DVH33"/>
    <mergeCell ref="DVI33:DVJ33"/>
    <mergeCell ref="DVK33:DVL33"/>
    <mergeCell ref="DUS33:DUT33"/>
    <mergeCell ref="DUU33:DUV33"/>
    <mergeCell ref="DUW33:DUX33"/>
    <mergeCell ref="DUY33:DUZ33"/>
    <mergeCell ref="DVA33:DVB33"/>
    <mergeCell ref="DXK33:DXL33"/>
    <mergeCell ref="DXM33:DXN33"/>
    <mergeCell ref="DXO33:DXP33"/>
    <mergeCell ref="DXQ33:DXR33"/>
    <mergeCell ref="DXS33:DXT33"/>
    <mergeCell ref="DXA33:DXB33"/>
    <mergeCell ref="DXC33:DXD33"/>
    <mergeCell ref="DXE33:DXF33"/>
    <mergeCell ref="DXG33:DXH33"/>
    <mergeCell ref="DXI33:DXJ33"/>
    <mergeCell ref="DWQ33:DWR33"/>
    <mergeCell ref="DWS33:DWT33"/>
    <mergeCell ref="DWU33:DWV33"/>
    <mergeCell ref="DWW33:DWX33"/>
    <mergeCell ref="DWY33:DWZ33"/>
    <mergeCell ref="DWG33:DWH33"/>
    <mergeCell ref="DWI33:DWJ33"/>
    <mergeCell ref="DWK33:DWL33"/>
    <mergeCell ref="DWM33:DWN33"/>
    <mergeCell ref="DWO33:DWP33"/>
    <mergeCell ref="DYY33:DYZ33"/>
    <mergeCell ref="DZA33:DZB33"/>
    <mergeCell ref="DZC33:DZD33"/>
    <mergeCell ref="DZE33:DZF33"/>
    <mergeCell ref="DZG33:DZH33"/>
    <mergeCell ref="DYO33:DYP33"/>
    <mergeCell ref="DYQ33:DYR33"/>
    <mergeCell ref="DYS33:DYT33"/>
    <mergeCell ref="DYU33:DYV33"/>
    <mergeCell ref="DYW33:DYX33"/>
    <mergeCell ref="DYE33:DYF33"/>
    <mergeCell ref="DYG33:DYH33"/>
    <mergeCell ref="DYI33:DYJ33"/>
    <mergeCell ref="DYK33:DYL33"/>
    <mergeCell ref="DYM33:DYN33"/>
    <mergeCell ref="DXU33:DXV33"/>
    <mergeCell ref="DXW33:DXX33"/>
    <mergeCell ref="DXY33:DXZ33"/>
    <mergeCell ref="DYA33:DYB33"/>
    <mergeCell ref="DYC33:DYD33"/>
    <mergeCell ref="EAM33:EAN33"/>
    <mergeCell ref="EAO33:EAP33"/>
    <mergeCell ref="EAQ33:EAR33"/>
    <mergeCell ref="EAS33:EAT33"/>
    <mergeCell ref="EAU33:EAV33"/>
    <mergeCell ref="EAC33:EAD33"/>
    <mergeCell ref="EAE33:EAF33"/>
    <mergeCell ref="EAG33:EAH33"/>
    <mergeCell ref="EAI33:EAJ33"/>
    <mergeCell ref="EAK33:EAL33"/>
    <mergeCell ref="DZS33:DZT33"/>
    <mergeCell ref="DZU33:DZV33"/>
    <mergeCell ref="DZW33:DZX33"/>
    <mergeCell ref="DZY33:DZZ33"/>
    <mergeCell ref="EAA33:EAB33"/>
    <mergeCell ref="DZI33:DZJ33"/>
    <mergeCell ref="DZK33:DZL33"/>
    <mergeCell ref="DZM33:DZN33"/>
    <mergeCell ref="DZO33:DZP33"/>
    <mergeCell ref="DZQ33:DZR33"/>
    <mergeCell ref="ECA33:ECB33"/>
    <mergeCell ref="ECC33:ECD33"/>
    <mergeCell ref="ECE33:ECF33"/>
    <mergeCell ref="ECG33:ECH33"/>
    <mergeCell ref="ECI33:ECJ33"/>
    <mergeCell ref="EBQ33:EBR33"/>
    <mergeCell ref="EBS33:EBT33"/>
    <mergeCell ref="EBU33:EBV33"/>
    <mergeCell ref="EBW33:EBX33"/>
    <mergeCell ref="EBY33:EBZ33"/>
    <mergeCell ref="EBG33:EBH33"/>
    <mergeCell ref="EBI33:EBJ33"/>
    <mergeCell ref="EBK33:EBL33"/>
    <mergeCell ref="EBM33:EBN33"/>
    <mergeCell ref="EBO33:EBP33"/>
    <mergeCell ref="EAW33:EAX33"/>
    <mergeCell ref="EAY33:EAZ33"/>
    <mergeCell ref="EBA33:EBB33"/>
    <mergeCell ref="EBC33:EBD33"/>
    <mergeCell ref="EBE33:EBF33"/>
    <mergeCell ref="EDO33:EDP33"/>
    <mergeCell ref="EDQ33:EDR33"/>
    <mergeCell ref="EDS33:EDT33"/>
    <mergeCell ref="EDU33:EDV33"/>
    <mergeCell ref="EDW33:EDX33"/>
    <mergeCell ref="EDE33:EDF33"/>
    <mergeCell ref="EDG33:EDH33"/>
    <mergeCell ref="EDI33:EDJ33"/>
    <mergeCell ref="EDK33:EDL33"/>
    <mergeCell ref="EDM33:EDN33"/>
    <mergeCell ref="ECU33:ECV33"/>
    <mergeCell ref="ECW33:ECX33"/>
    <mergeCell ref="ECY33:ECZ33"/>
    <mergeCell ref="EDA33:EDB33"/>
    <mergeCell ref="EDC33:EDD33"/>
    <mergeCell ref="ECK33:ECL33"/>
    <mergeCell ref="ECM33:ECN33"/>
    <mergeCell ref="ECO33:ECP33"/>
    <mergeCell ref="ECQ33:ECR33"/>
    <mergeCell ref="ECS33:ECT33"/>
    <mergeCell ref="EFC33:EFD33"/>
    <mergeCell ref="EFE33:EFF33"/>
    <mergeCell ref="EFG33:EFH33"/>
    <mergeCell ref="EFI33:EFJ33"/>
    <mergeCell ref="EFK33:EFL33"/>
    <mergeCell ref="EES33:EET33"/>
    <mergeCell ref="EEU33:EEV33"/>
    <mergeCell ref="EEW33:EEX33"/>
    <mergeCell ref="EEY33:EEZ33"/>
    <mergeCell ref="EFA33:EFB33"/>
    <mergeCell ref="EEI33:EEJ33"/>
    <mergeCell ref="EEK33:EEL33"/>
    <mergeCell ref="EEM33:EEN33"/>
    <mergeCell ref="EEO33:EEP33"/>
    <mergeCell ref="EEQ33:EER33"/>
    <mergeCell ref="EDY33:EDZ33"/>
    <mergeCell ref="EEA33:EEB33"/>
    <mergeCell ref="EEC33:EED33"/>
    <mergeCell ref="EEE33:EEF33"/>
    <mergeCell ref="EEG33:EEH33"/>
    <mergeCell ref="EGQ33:EGR33"/>
    <mergeCell ref="EGS33:EGT33"/>
    <mergeCell ref="EGU33:EGV33"/>
    <mergeCell ref="EGW33:EGX33"/>
    <mergeCell ref="EGY33:EGZ33"/>
    <mergeCell ref="EGG33:EGH33"/>
    <mergeCell ref="EGI33:EGJ33"/>
    <mergeCell ref="EGK33:EGL33"/>
    <mergeCell ref="EGM33:EGN33"/>
    <mergeCell ref="EGO33:EGP33"/>
    <mergeCell ref="EFW33:EFX33"/>
    <mergeCell ref="EFY33:EFZ33"/>
    <mergeCell ref="EGA33:EGB33"/>
    <mergeCell ref="EGC33:EGD33"/>
    <mergeCell ref="EGE33:EGF33"/>
    <mergeCell ref="EFM33:EFN33"/>
    <mergeCell ref="EFO33:EFP33"/>
    <mergeCell ref="EFQ33:EFR33"/>
    <mergeCell ref="EFS33:EFT33"/>
    <mergeCell ref="EFU33:EFV33"/>
    <mergeCell ref="EIE33:EIF33"/>
    <mergeCell ref="EIG33:EIH33"/>
    <mergeCell ref="EII33:EIJ33"/>
    <mergeCell ref="EIK33:EIL33"/>
    <mergeCell ref="EIM33:EIN33"/>
    <mergeCell ref="EHU33:EHV33"/>
    <mergeCell ref="EHW33:EHX33"/>
    <mergeCell ref="EHY33:EHZ33"/>
    <mergeCell ref="EIA33:EIB33"/>
    <mergeCell ref="EIC33:EID33"/>
    <mergeCell ref="EHK33:EHL33"/>
    <mergeCell ref="EHM33:EHN33"/>
    <mergeCell ref="EHO33:EHP33"/>
    <mergeCell ref="EHQ33:EHR33"/>
    <mergeCell ref="EHS33:EHT33"/>
    <mergeCell ref="EHA33:EHB33"/>
    <mergeCell ref="EHC33:EHD33"/>
    <mergeCell ref="EHE33:EHF33"/>
    <mergeCell ref="EHG33:EHH33"/>
    <mergeCell ref="EHI33:EHJ33"/>
    <mergeCell ref="EJS33:EJT33"/>
    <mergeCell ref="EJU33:EJV33"/>
    <mergeCell ref="EJW33:EJX33"/>
    <mergeCell ref="EJY33:EJZ33"/>
    <mergeCell ref="EKA33:EKB33"/>
    <mergeCell ref="EJI33:EJJ33"/>
    <mergeCell ref="EJK33:EJL33"/>
    <mergeCell ref="EJM33:EJN33"/>
    <mergeCell ref="EJO33:EJP33"/>
    <mergeCell ref="EJQ33:EJR33"/>
    <mergeCell ref="EIY33:EIZ33"/>
    <mergeCell ref="EJA33:EJB33"/>
    <mergeCell ref="EJC33:EJD33"/>
    <mergeCell ref="EJE33:EJF33"/>
    <mergeCell ref="EJG33:EJH33"/>
    <mergeCell ref="EIO33:EIP33"/>
    <mergeCell ref="EIQ33:EIR33"/>
    <mergeCell ref="EIS33:EIT33"/>
    <mergeCell ref="EIU33:EIV33"/>
    <mergeCell ref="EIW33:EIX33"/>
    <mergeCell ref="ELG33:ELH33"/>
    <mergeCell ref="ELI33:ELJ33"/>
    <mergeCell ref="ELK33:ELL33"/>
    <mergeCell ref="ELM33:ELN33"/>
    <mergeCell ref="ELO33:ELP33"/>
    <mergeCell ref="EKW33:EKX33"/>
    <mergeCell ref="EKY33:EKZ33"/>
    <mergeCell ref="ELA33:ELB33"/>
    <mergeCell ref="ELC33:ELD33"/>
    <mergeCell ref="ELE33:ELF33"/>
    <mergeCell ref="EKM33:EKN33"/>
    <mergeCell ref="EKO33:EKP33"/>
    <mergeCell ref="EKQ33:EKR33"/>
    <mergeCell ref="EKS33:EKT33"/>
    <mergeCell ref="EKU33:EKV33"/>
    <mergeCell ref="EKC33:EKD33"/>
    <mergeCell ref="EKE33:EKF33"/>
    <mergeCell ref="EKG33:EKH33"/>
    <mergeCell ref="EKI33:EKJ33"/>
    <mergeCell ref="EKK33:EKL33"/>
    <mergeCell ref="EMU33:EMV33"/>
    <mergeCell ref="EMW33:EMX33"/>
    <mergeCell ref="EMY33:EMZ33"/>
    <mergeCell ref="ENA33:ENB33"/>
    <mergeCell ref="ENC33:END33"/>
    <mergeCell ref="EMK33:EML33"/>
    <mergeCell ref="EMM33:EMN33"/>
    <mergeCell ref="EMO33:EMP33"/>
    <mergeCell ref="EMQ33:EMR33"/>
    <mergeCell ref="EMS33:EMT33"/>
    <mergeCell ref="EMA33:EMB33"/>
    <mergeCell ref="EMC33:EMD33"/>
    <mergeCell ref="EME33:EMF33"/>
    <mergeCell ref="EMG33:EMH33"/>
    <mergeCell ref="EMI33:EMJ33"/>
    <mergeCell ref="ELQ33:ELR33"/>
    <mergeCell ref="ELS33:ELT33"/>
    <mergeCell ref="ELU33:ELV33"/>
    <mergeCell ref="ELW33:ELX33"/>
    <mergeCell ref="ELY33:ELZ33"/>
    <mergeCell ref="EOI33:EOJ33"/>
    <mergeCell ref="EOK33:EOL33"/>
    <mergeCell ref="EOM33:EON33"/>
    <mergeCell ref="EOO33:EOP33"/>
    <mergeCell ref="EOQ33:EOR33"/>
    <mergeCell ref="ENY33:ENZ33"/>
    <mergeCell ref="EOA33:EOB33"/>
    <mergeCell ref="EOC33:EOD33"/>
    <mergeCell ref="EOE33:EOF33"/>
    <mergeCell ref="EOG33:EOH33"/>
    <mergeCell ref="ENO33:ENP33"/>
    <mergeCell ref="ENQ33:ENR33"/>
    <mergeCell ref="ENS33:ENT33"/>
    <mergeCell ref="ENU33:ENV33"/>
    <mergeCell ref="ENW33:ENX33"/>
    <mergeCell ref="ENE33:ENF33"/>
    <mergeCell ref="ENG33:ENH33"/>
    <mergeCell ref="ENI33:ENJ33"/>
    <mergeCell ref="ENK33:ENL33"/>
    <mergeCell ref="ENM33:ENN33"/>
    <mergeCell ref="EPW33:EPX33"/>
    <mergeCell ref="EPY33:EPZ33"/>
    <mergeCell ref="EQA33:EQB33"/>
    <mergeCell ref="EQC33:EQD33"/>
    <mergeCell ref="EQE33:EQF33"/>
    <mergeCell ref="EPM33:EPN33"/>
    <mergeCell ref="EPO33:EPP33"/>
    <mergeCell ref="EPQ33:EPR33"/>
    <mergeCell ref="EPS33:EPT33"/>
    <mergeCell ref="EPU33:EPV33"/>
    <mergeCell ref="EPC33:EPD33"/>
    <mergeCell ref="EPE33:EPF33"/>
    <mergeCell ref="EPG33:EPH33"/>
    <mergeCell ref="EPI33:EPJ33"/>
    <mergeCell ref="EPK33:EPL33"/>
    <mergeCell ref="EOS33:EOT33"/>
    <mergeCell ref="EOU33:EOV33"/>
    <mergeCell ref="EOW33:EOX33"/>
    <mergeCell ref="EOY33:EOZ33"/>
    <mergeCell ref="EPA33:EPB33"/>
    <mergeCell ref="ERK33:ERL33"/>
    <mergeCell ref="ERM33:ERN33"/>
    <mergeCell ref="ERO33:ERP33"/>
    <mergeCell ref="ERQ33:ERR33"/>
    <mergeCell ref="ERS33:ERT33"/>
    <mergeCell ref="ERA33:ERB33"/>
    <mergeCell ref="ERC33:ERD33"/>
    <mergeCell ref="ERE33:ERF33"/>
    <mergeCell ref="ERG33:ERH33"/>
    <mergeCell ref="ERI33:ERJ33"/>
    <mergeCell ref="EQQ33:EQR33"/>
    <mergeCell ref="EQS33:EQT33"/>
    <mergeCell ref="EQU33:EQV33"/>
    <mergeCell ref="EQW33:EQX33"/>
    <mergeCell ref="EQY33:EQZ33"/>
    <mergeCell ref="EQG33:EQH33"/>
    <mergeCell ref="EQI33:EQJ33"/>
    <mergeCell ref="EQK33:EQL33"/>
    <mergeCell ref="EQM33:EQN33"/>
    <mergeCell ref="EQO33:EQP33"/>
    <mergeCell ref="ESY33:ESZ33"/>
    <mergeCell ref="ETA33:ETB33"/>
    <mergeCell ref="ETC33:ETD33"/>
    <mergeCell ref="ETE33:ETF33"/>
    <mergeCell ref="ETG33:ETH33"/>
    <mergeCell ref="ESO33:ESP33"/>
    <mergeCell ref="ESQ33:ESR33"/>
    <mergeCell ref="ESS33:EST33"/>
    <mergeCell ref="ESU33:ESV33"/>
    <mergeCell ref="ESW33:ESX33"/>
    <mergeCell ref="ESE33:ESF33"/>
    <mergeCell ref="ESG33:ESH33"/>
    <mergeCell ref="ESI33:ESJ33"/>
    <mergeCell ref="ESK33:ESL33"/>
    <mergeCell ref="ESM33:ESN33"/>
    <mergeCell ref="ERU33:ERV33"/>
    <mergeCell ref="ERW33:ERX33"/>
    <mergeCell ref="ERY33:ERZ33"/>
    <mergeCell ref="ESA33:ESB33"/>
    <mergeCell ref="ESC33:ESD33"/>
    <mergeCell ref="EUM33:EUN33"/>
    <mergeCell ref="EUO33:EUP33"/>
    <mergeCell ref="EUQ33:EUR33"/>
    <mergeCell ref="EUS33:EUT33"/>
    <mergeCell ref="EUU33:EUV33"/>
    <mergeCell ref="EUC33:EUD33"/>
    <mergeCell ref="EUE33:EUF33"/>
    <mergeCell ref="EUG33:EUH33"/>
    <mergeCell ref="EUI33:EUJ33"/>
    <mergeCell ref="EUK33:EUL33"/>
    <mergeCell ref="ETS33:ETT33"/>
    <mergeCell ref="ETU33:ETV33"/>
    <mergeCell ref="ETW33:ETX33"/>
    <mergeCell ref="ETY33:ETZ33"/>
    <mergeCell ref="EUA33:EUB33"/>
    <mergeCell ref="ETI33:ETJ33"/>
    <mergeCell ref="ETK33:ETL33"/>
    <mergeCell ref="ETM33:ETN33"/>
    <mergeCell ref="ETO33:ETP33"/>
    <mergeCell ref="ETQ33:ETR33"/>
    <mergeCell ref="EWA33:EWB33"/>
    <mergeCell ref="EWC33:EWD33"/>
    <mergeCell ref="EWE33:EWF33"/>
    <mergeCell ref="EWG33:EWH33"/>
    <mergeCell ref="EWI33:EWJ33"/>
    <mergeCell ref="EVQ33:EVR33"/>
    <mergeCell ref="EVS33:EVT33"/>
    <mergeCell ref="EVU33:EVV33"/>
    <mergeCell ref="EVW33:EVX33"/>
    <mergeCell ref="EVY33:EVZ33"/>
    <mergeCell ref="EVG33:EVH33"/>
    <mergeCell ref="EVI33:EVJ33"/>
    <mergeCell ref="EVK33:EVL33"/>
    <mergeCell ref="EVM33:EVN33"/>
    <mergeCell ref="EVO33:EVP33"/>
    <mergeCell ref="EUW33:EUX33"/>
    <mergeCell ref="EUY33:EUZ33"/>
    <mergeCell ref="EVA33:EVB33"/>
    <mergeCell ref="EVC33:EVD33"/>
    <mergeCell ref="EVE33:EVF33"/>
    <mergeCell ref="EXO33:EXP33"/>
    <mergeCell ref="EXQ33:EXR33"/>
    <mergeCell ref="EXS33:EXT33"/>
    <mergeCell ref="EXU33:EXV33"/>
    <mergeCell ref="EXW33:EXX33"/>
    <mergeCell ref="EXE33:EXF33"/>
    <mergeCell ref="EXG33:EXH33"/>
    <mergeCell ref="EXI33:EXJ33"/>
    <mergeCell ref="EXK33:EXL33"/>
    <mergeCell ref="EXM33:EXN33"/>
    <mergeCell ref="EWU33:EWV33"/>
    <mergeCell ref="EWW33:EWX33"/>
    <mergeCell ref="EWY33:EWZ33"/>
    <mergeCell ref="EXA33:EXB33"/>
    <mergeCell ref="EXC33:EXD33"/>
    <mergeCell ref="EWK33:EWL33"/>
    <mergeCell ref="EWM33:EWN33"/>
    <mergeCell ref="EWO33:EWP33"/>
    <mergeCell ref="EWQ33:EWR33"/>
    <mergeCell ref="EWS33:EWT33"/>
    <mergeCell ref="EZC33:EZD33"/>
    <mergeCell ref="EZE33:EZF33"/>
    <mergeCell ref="EZG33:EZH33"/>
    <mergeCell ref="EZI33:EZJ33"/>
    <mergeCell ref="EZK33:EZL33"/>
    <mergeCell ref="EYS33:EYT33"/>
    <mergeCell ref="EYU33:EYV33"/>
    <mergeCell ref="EYW33:EYX33"/>
    <mergeCell ref="EYY33:EYZ33"/>
    <mergeCell ref="EZA33:EZB33"/>
    <mergeCell ref="EYI33:EYJ33"/>
    <mergeCell ref="EYK33:EYL33"/>
    <mergeCell ref="EYM33:EYN33"/>
    <mergeCell ref="EYO33:EYP33"/>
    <mergeCell ref="EYQ33:EYR33"/>
    <mergeCell ref="EXY33:EXZ33"/>
    <mergeCell ref="EYA33:EYB33"/>
    <mergeCell ref="EYC33:EYD33"/>
    <mergeCell ref="EYE33:EYF33"/>
    <mergeCell ref="EYG33:EYH33"/>
    <mergeCell ref="FAQ33:FAR33"/>
    <mergeCell ref="FAS33:FAT33"/>
    <mergeCell ref="FAU33:FAV33"/>
    <mergeCell ref="FAW33:FAX33"/>
    <mergeCell ref="FAY33:FAZ33"/>
    <mergeCell ref="FAG33:FAH33"/>
    <mergeCell ref="FAI33:FAJ33"/>
    <mergeCell ref="FAK33:FAL33"/>
    <mergeCell ref="FAM33:FAN33"/>
    <mergeCell ref="FAO33:FAP33"/>
    <mergeCell ref="EZW33:EZX33"/>
    <mergeCell ref="EZY33:EZZ33"/>
    <mergeCell ref="FAA33:FAB33"/>
    <mergeCell ref="FAC33:FAD33"/>
    <mergeCell ref="FAE33:FAF33"/>
    <mergeCell ref="EZM33:EZN33"/>
    <mergeCell ref="EZO33:EZP33"/>
    <mergeCell ref="EZQ33:EZR33"/>
    <mergeCell ref="EZS33:EZT33"/>
    <mergeCell ref="EZU33:EZV33"/>
    <mergeCell ref="FCE33:FCF33"/>
    <mergeCell ref="FCG33:FCH33"/>
    <mergeCell ref="FCI33:FCJ33"/>
    <mergeCell ref="FCK33:FCL33"/>
    <mergeCell ref="FCM33:FCN33"/>
    <mergeCell ref="FBU33:FBV33"/>
    <mergeCell ref="FBW33:FBX33"/>
    <mergeCell ref="FBY33:FBZ33"/>
    <mergeCell ref="FCA33:FCB33"/>
    <mergeCell ref="FCC33:FCD33"/>
    <mergeCell ref="FBK33:FBL33"/>
    <mergeCell ref="FBM33:FBN33"/>
    <mergeCell ref="FBO33:FBP33"/>
    <mergeCell ref="FBQ33:FBR33"/>
    <mergeCell ref="FBS33:FBT33"/>
    <mergeCell ref="FBA33:FBB33"/>
    <mergeCell ref="FBC33:FBD33"/>
    <mergeCell ref="FBE33:FBF33"/>
    <mergeCell ref="FBG33:FBH33"/>
    <mergeCell ref="FBI33:FBJ33"/>
    <mergeCell ref="FDS33:FDT33"/>
    <mergeCell ref="FDU33:FDV33"/>
    <mergeCell ref="FDW33:FDX33"/>
    <mergeCell ref="FDY33:FDZ33"/>
    <mergeCell ref="FEA33:FEB33"/>
    <mergeCell ref="FDI33:FDJ33"/>
    <mergeCell ref="FDK33:FDL33"/>
    <mergeCell ref="FDM33:FDN33"/>
    <mergeCell ref="FDO33:FDP33"/>
    <mergeCell ref="FDQ33:FDR33"/>
    <mergeCell ref="FCY33:FCZ33"/>
    <mergeCell ref="FDA33:FDB33"/>
    <mergeCell ref="FDC33:FDD33"/>
    <mergeCell ref="FDE33:FDF33"/>
    <mergeCell ref="FDG33:FDH33"/>
    <mergeCell ref="FCO33:FCP33"/>
    <mergeCell ref="FCQ33:FCR33"/>
    <mergeCell ref="FCS33:FCT33"/>
    <mergeCell ref="FCU33:FCV33"/>
    <mergeCell ref="FCW33:FCX33"/>
    <mergeCell ref="FFG33:FFH33"/>
    <mergeCell ref="FFI33:FFJ33"/>
    <mergeCell ref="FFK33:FFL33"/>
    <mergeCell ref="FFM33:FFN33"/>
    <mergeCell ref="FFO33:FFP33"/>
    <mergeCell ref="FEW33:FEX33"/>
    <mergeCell ref="FEY33:FEZ33"/>
    <mergeCell ref="FFA33:FFB33"/>
    <mergeCell ref="FFC33:FFD33"/>
    <mergeCell ref="FFE33:FFF33"/>
    <mergeCell ref="FEM33:FEN33"/>
    <mergeCell ref="FEO33:FEP33"/>
    <mergeCell ref="FEQ33:FER33"/>
    <mergeCell ref="FES33:FET33"/>
    <mergeCell ref="FEU33:FEV33"/>
    <mergeCell ref="FEC33:FED33"/>
    <mergeCell ref="FEE33:FEF33"/>
    <mergeCell ref="FEG33:FEH33"/>
    <mergeCell ref="FEI33:FEJ33"/>
    <mergeCell ref="FEK33:FEL33"/>
    <mergeCell ref="FGU33:FGV33"/>
    <mergeCell ref="FGW33:FGX33"/>
    <mergeCell ref="FGY33:FGZ33"/>
    <mergeCell ref="FHA33:FHB33"/>
    <mergeCell ref="FHC33:FHD33"/>
    <mergeCell ref="FGK33:FGL33"/>
    <mergeCell ref="FGM33:FGN33"/>
    <mergeCell ref="FGO33:FGP33"/>
    <mergeCell ref="FGQ33:FGR33"/>
    <mergeCell ref="FGS33:FGT33"/>
    <mergeCell ref="FGA33:FGB33"/>
    <mergeCell ref="FGC33:FGD33"/>
    <mergeCell ref="FGE33:FGF33"/>
    <mergeCell ref="FGG33:FGH33"/>
    <mergeCell ref="FGI33:FGJ33"/>
    <mergeCell ref="FFQ33:FFR33"/>
    <mergeCell ref="FFS33:FFT33"/>
    <mergeCell ref="FFU33:FFV33"/>
    <mergeCell ref="FFW33:FFX33"/>
    <mergeCell ref="FFY33:FFZ33"/>
    <mergeCell ref="FII33:FIJ33"/>
    <mergeCell ref="FIK33:FIL33"/>
    <mergeCell ref="FIM33:FIN33"/>
    <mergeCell ref="FIO33:FIP33"/>
    <mergeCell ref="FIQ33:FIR33"/>
    <mergeCell ref="FHY33:FHZ33"/>
    <mergeCell ref="FIA33:FIB33"/>
    <mergeCell ref="FIC33:FID33"/>
    <mergeCell ref="FIE33:FIF33"/>
    <mergeCell ref="FIG33:FIH33"/>
    <mergeCell ref="FHO33:FHP33"/>
    <mergeCell ref="FHQ33:FHR33"/>
    <mergeCell ref="FHS33:FHT33"/>
    <mergeCell ref="FHU33:FHV33"/>
    <mergeCell ref="FHW33:FHX33"/>
    <mergeCell ref="FHE33:FHF33"/>
    <mergeCell ref="FHG33:FHH33"/>
    <mergeCell ref="FHI33:FHJ33"/>
    <mergeCell ref="FHK33:FHL33"/>
    <mergeCell ref="FHM33:FHN33"/>
    <mergeCell ref="FJW33:FJX33"/>
    <mergeCell ref="FJY33:FJZ33"/>
    <mergeCell ref="FKA33:FKB33"/>
    <mergeCell ref="FKC33:FKD33"/>
    <mergeCell ref="FKE33:FKF33"/>
    <mergeCell ref="FJM33:FJN33"/>
    <mergeCell ref="FJO33:FJP33"/>
    <mergeCell ref="FJQ33:FJR33"/>
    <mergeCell ref="FJS33:FJT33"/>
    <mergeCell ref="FJU33:FJV33"/>
    <mergeCell ref="FJC33:FJD33"/>
    <mergeCell ref="FJE33:FJF33"/>
    <mergeCell ref="FJG33:FJH33"/>
    <mergeCell ref="FJI33:FJJ33"/>
    <mergeCell ref="FJK33:FJL33"/>
    <mergeCell ref="FIS33:FIT33"/>
    <mergeCell ref="FIU33:FIV33"/>
    <mergeCell ref="FIW33:FIX33"/>
    <mergeCell ref="FIY33:FIZ33"/>
    <mergeCell ref="FJA33:FJB33"/>
    <mergeCell ref="FLK33:FLL33"/>
    <mergeCell ref="FLM33:FLN33"/>
    <mergeCell ref="FLO33:FLP33"/>
    <mergeCell ref="FLQ33:FLR33"/>
    <mergeCell ref="FLS33:FLT33"/>
    <mergeCell ref="FLA33:FLB33"/>
    <mergeCell ref="FLC33:FLD33"/>
    <mergeCell ref="FLE33:FLF33"/>
    <mergeCell ref="FLG33:FLH33"/>
    <mergeCell ref="FLI33:FLJ33"/>
    <mergeCell ref="FKQ33:FKR33"/>
    <mergeCell ref="FKS33:FKT33"/>
    <mergeCell ref="FKU33:FKV33"/>
    <mergeCell ref="FKW33:FKX33"/>
    <mergeCell ref="FKY33:FKZ33"/>
    <mergeCell ref="FKG33:FKH33"/>
    <mergeCell ref="FKI33:FKJ33"/>
    <mergeCell ref="FKK33:FKL33"/>
    <mergeCell ref="FKM33:FKN33"/>
    <mergeCell ref="FKO33:FKP33"/>
    <mergeCell ref="FMY33:FMZ33"/>
    <mergeCell ref="FNA33:FNB33"/>
    <mergeCell ref="FNC33:FND33"/>
    <mergeCell ref="FNE33:FNF33"/>
    <mergeCell ref="FNG33:FNH33"/>
    <mergeCell ref="FMO33:FMP33"/>
    <mergeCell ref="FMQ33:FMR33"/>
    <mergeCell ref="FMS33:FMT33"/>
    <mergeCell ref="FMU33:FMV33"/>
    <mergeCell ref="FMW33:FMX33"/>
    <mergeCell ref="FME33:FMF33"/>
    <mergeCell ref="FMG33:FMH33"/>
    <mergeCell ref="FMI33:FMJ33"/>
    <mergeCell ref="FMK33:FML33"/>
    <mergeCell ref="FMM33:FMN33"/>
    <mergeCell ref="FLU33:FLV33"/>
    <mergeCell ref="FLW33:FLX33"/>
    <mergeCell ref="FLY33:FLZ33"/>
    <mergeCell ref="FMA33:FMB33"/>
    <mergeCell ref="FMC33:FMD33"/>
    <mergeCell ref="FOM33:FON33"/>
    <mergeCell ref="FOO33:FOP33"/>
    <mergeCell ref="FOQ33:FOR33"/>
    <mergeCell ref="FOS33:FOT33"/>
    <mergeCell ref="FOU33:FOV33"/>
    <mergeCell ref="FOC33:FOD33"/>
    <mergeCell ref="FOE33:FOF33"/>
    <mergeCell ref="FOG33:FOH33"/>
    <mergeCell ref="FOI33:FOJ33"/>
    <mergeCell ref="FOK33:FOL33"/>
    <mergeCell ref="FNS33:FNT33"/>
    <mergeCell ref="FNU33:FNV33"/>
    <mergeCell ref="FNW33:FNX33"/>
    <mergeCell ref="FNY33:FNZ33"/>
    <mergeCell ref="FOA33:FOB33"/>
    <mergeCell ref="FNI33:FNJ33"/>
    <mergeCell ref="FNK33:FNL33"/>
    <mergeCell ref="FNM33:FNN33"/>
    <mergeCell ref="FNO33:FNP33"/>
    <mergeCell ref="FNQ33:FNR33"/>
    <mergeCell ref="FQA33:FQB33"/>
    <mergeCell ref="FQC33:FQD33"/>
    <mergeCell ref="FQE33:FQF33"/>
    <mergeCell ref="FQG33:FQH33"/>
    <mergeCell ref="FQI33:FQJ33"/>
    <mergeCell ref="FPQ33:FPR33"/>
    <mergeCell ref="FPS33:FPT33"/>
    <mergeCell ref="FPU33:FPV33"/>
    <mergeCell ref="FPW33:FPX33"/>
    <mergeCell ref="FPY33:FPZ33"/>
    <mergeCell ref="FPG33:FPH33"/>
    <mergeCell ref="FPI33:FPJ33"/>
    <mergeCell ref="FPK33:FPL33"/>
    <mergeCell ref="FPM33:FPN33"/>
    <mergeCell ref="FPO33:FPP33"/>
    <mergeCell ref="FOW33:FOX33"/>
    <mergeCell ref="FOY33:FOZ33"/>
    <mergeCell ref="FPA33:FPB33"/>
    <mergeCell ref="FPC33:FPD33"/>
    <mergeCell ref="FPE33:FPF33"/>
    <mergeCell ref="FRO33:FRP33"/>
    <mergeCell ref="FRQ33:FRR33"/>
    <mergeCell ref="FRS33:FRT33"/>
    <mergeCell ref="FRU33:FRV33"/>
    <mergeCell ref="FRW33:FRX33"/>
    <mergeCell ref="FRE33:FRF33"/>
    <mergeCell ref="FRG33:FRH33"/>
    <mergeCell ref="FRI33:FRJ33"/>
    <mergeCell ref="FRK33:FRL33"/>
    <mergeCell ref="FRM33:FRN33"/>
    <mergeCell ref="FQU33:FQV33"/>
    <mergeCell ref="FQW33:FQX33"/>
    <mergeCell ref="FQY33:FQZ33"/>
    <mergeCell ref="FRA33:FRB33"/>
    <mergeCell ref="FRC33:FRD33"/>
    <mergeCell ref="FQK33:FQL33"/>
    <mergeCell ref="FQM33:FQN33"/>
    <mergeCell ref="FQO33:FQP33"/>
    <mergeCell ref="FQQ33:FQR33"/>
    <mergeCell ref="FQS33:FQT33"/>
    <mergeCell ref="FTC33:FTD33"/>
    <mergeCell ref="FTE33:FTF33"/>
    <mergeCell ref="FTG33:FTH33"/>
    <mergeCell ref="FTI33:FTJ33"/>
    <mergeCell ref="FTK33:FTL33"/>
    <mergeCell ref="FSS33:FST33"/>
    <mergeCell ref="FSU33:FSV33"/>
    <mergeCell ref="FSW33:FSX33"/>
    <mergeCell ref="FSY33:FSZ33"/>
    <mergeCell ref="FTA33:FTB33"/>
    <mergeCell ref="FSI33:FSJ33"/>
    <mergeCell ref="FSK33:FSL33"/>
    <mergeCell ref="FSM33:FSN33"/>
    <mergeCell ref="FSO33:FSP33"/>
    <mergeCell ref="FSQ33:FSR33"/>
    <mergeCell ref="FRY33:FRZ33"/>
    <mergeCell ref="FSA33:FSB33"/>
    <mergeCell ref="FSC33:FSD33"/>
    <mergeCell ref="FSE33:FSF33"/>
    <mergeCell ref="FSG33:FSH33"/>
    <mergeCell ref="FUQ33:FUR33"/>
    <mergeCell ref="FUS33:FUT33"/>
    <mergeCell ref="FUU33:FUV33"/>
    <mergeCell ref="FUW33:FUX33"/>
    <mergeCell ref="FUY33:FUZ33"/>
    <mergeCell ref="FUG33:FUH33"/>
    <mergeCell ref="FUI33:FUJ33"/>
    <mergeCell ref="FUK33:FUL33"/>
    <mergeCell ref="FUM33:FUN33"/>
    <mergeCell ref="FUO33:FUP33"/>
    <mergeCell ref="FTW33:FTX33"/>
    <mergeCell ref="FTY33:FTZ33"/>
    <mergeCell ref="FUA33:FUB33"/>
    <mergeCell ref="FUC33:FUD33"/>
    <mergeCell ref="FUE33:FUF33"/>
    <mergeCell ref="FTM33:FTN33"/>
    <mergeCell ref="FTO33:FTP33"/>
    <mergeCell ref="FTQ33:FTR33"/>
    <mergeCell ref="FTS33:FTT33"/>
    <mergeCell ref="FTU33:FTV33"/>
    <mergeCell ref="FWE33:FWF33"/>
    <mergeCell ref="FWG33:FWH33"/>
    <mergeCell ref="FWI33:FWJ33"/>
    <mergeCell ref="FWK33:FWL33"/>
    <mergeCell ref="FWM33:FWN33"/>
    <mergeCell ref="FVU33:FVV33"/>
    <mergeCell ref="FVW33:FVX33"/>
    <mergeCell ref="FVY33:FVZ33"/>
    <mergeCell ref="FWA33:FWB33"/>
    <mergeCell ref="FWC33:FWD33"/>
    <mergeCell ref="FVK33:FVL33"/>
    <mergeCell ref="FVM33:FVN33"/>
    <mergeCell ref="FVO33:FVP33"/>
    <mergeCell ref="FVQ33:FVR33"/>
    <mergeCell ref="FVS33:FVT33"/>
    <mergeCell ref="FVA33:FVB33"/>
    <mergeCell ref="FVC33:FVD33"/>
    <mergeCell ref="FVE33:FVF33"/>
    <mergeCell ref="FVG33:FVH33"/>
    <mergeCell ref="FVI33:FVJ33"/>
    <mergeCell ref="FXS33:FXT33"/>
    <mergeCell ref="FXU33:FXV33"/>
    <mergeCell ref="FXW33:FXX33"/>
    <mergeCell ref="FXY33:FXZ33"/>
    <mergeCell ref="FYA33:FYB33"/>
    <mergeCell ref="FXI33:FXJ33"/>
    <mergeCell ref="FXK33:FXL33"/>
    <mergeCell ref="FXM33:FXN33"/>
    <mergeCell ref="FXO33:FXP33"/>
    <mergeCell ref="FXQ33:FXR33"/>
    <mergeCell ref="FWY33:FWZ33"/>
    <mergeCell ref="FXA33:FXB33"/>
    <mergeCell ref="FXC33:FXD33"/>
    <mergeCell ref="FXE33:FXF33"/>
    <mergeCell ref="FXG33:FXH33"/>
    <mergeCell ref="FWO33:FWP33"/>
    <mergeCell ref="FWQ33:FWR33"/>
    <mergeCell ref="FWS33:FWT33"/>
    <mergeCell ref="FWU33:FWV33"/>
    <mergeCell ref="FWW33:FWX33"/>
    <mergeCell ref="FZG33:FZH33"/>
    <mergeCell ref="FZI33:FZJ33"/>
    <mergeCell ref="FZK33:FZL33"/>
    <mergeCell ref="FZM33:FZN33"/>
    <mergeCell ref="FZO33:FZP33"/>
    <mergeCell ref="FYW33:FYX33"/>
    <mergeCell ref="FYY33:FYZ33"/>
    <mergeCell ref="FZA33:FZB33"/>
    <mergeCell ref="FZC33:FZD33"/>
    <mergeCell ref="FZE33:FZF33"/>
    <mergeCell ref="FYM33:FYN33"/>
    <mergeCell ref="FYO33:FYP33"/>
    <mergeCell ref="FYQ33:FYR33"/>
    <mergeCell ref="FYS33:FYT33"/>
    <mergeCell ref="FYU33:FYV33"/>
    <mergeCell ref="FYC33:FYD33"/>
    <mergeCell ref="FYE33:FYF33"/>
    <mergeCell ref="FYG33:FYH33"/>
    <mergeCell ref="FYI33:FYJ33"/>
    <mergeCell ref="FYK33:FYL33"/>
    <mergeCell ref="GAU33:GAV33"/>
    <mergeCell ref="GAW33:GAX33"/>
    <mergeCell ref="GAY33:GAZ33"/>
    <mergeCell ref="GBA33:GBB33"/>
    <mergeCell ref="GBC33:GBD33"/>
    <mergeCell ref="GAK33:GAL33"/>
    <mergeCell ref="GAM33:GAN33"/>
    <mergeCell ref="GAO33:GAP33"/>
    <mergeCell ref="GAQ33:GAR33"/>
    <mergeCell ref="GAS33:GAT33"/>
    <mergeCell ref="GAA33:GAB33"/>
    <mergeCell ref="GAC33:GAD33"/>
    <mergeCell ref="GAE33:GAF33"/>
    <mergeCell ref="GAG33:GAH33"/>
    <mergeCell ref="GAI33:GAJ33"/>
    <mergeCell ref="FZQ33:FZR33"/>
    <mergeCell ref="FZS33:FZT33"/>
    <mergeCell ref="FZU33:FZV33"/>
    <mergeCell ref="FZW33:FZX33"/>
    <mergeCell ref="FZY33:FZZ33"/>
    <mergeCell ref="GCI33:GCJ33"/>
    <mergeCell ref="GCK33:GCL33"/>
    <mergeCell ref="GCM33:GCN33"/>
    <mergeCell ref="GCO33:GCP33"/>
    <mergeCell ref="GCQ33:GCR33"/>
    <mergeCell ref="GBY33:GBZ33"/>
    <mergeCell ref="GCA33:GCB33"/>
    <mergeCell ref="GCC33:GCD33"/>
    <mergeCell ref="GCE33:GCF33"/>
    <mergeCell ref="GCG33:GCH33"/>
    <mergeCell ref="GBO33:GBP33"/>
    <mergeCell ref="GBQ33:GBR33"/>
    <mergeCell ref="GBS33:GBT33"/>
    <mergeCell ref="GBU33:GBV33"/>
    <mergeCell ref="GBW33:GBX33"/>
    <mergeCell ref="GBE33:GBF33"/>
    <mergeCell ref="GBG33:GBH33"/>
    <mergeCell ref="GBI33:GBJ33"/>
    <mergeCell ref="GBK33:GBL33"/>
    <mergeCell ref="GBM33:GBN33"/>
    <mergeCell ref="GDW33:GDX33"/>
    <mergeCell ref="GDY33:GDZ33"/>
    <mergeCell ref="GEA33:GEB33"/>
    <mergeCell ref="GEC33:GED33"/>
    <mergeCell ref="GEE33:GEF33"/>
    <mergeCell ref="GDM33:GDN33"/>
    <mergeCell ref="GDO33:GDP33"/>
    <mergeCell ref="GDQ33:GDR33"/>
    <mergeCell ref="GDS33:GDT33"/>
    <mergeCell ref="GDU33:GDV33"/>
    <mergeCell ref="GDC33:GDD33"/>
    <mergeCell ref="GDE33:GDF33"/>
    <mergeCell ref="GDG33:GDH33"/>
    <mergeCell ref="GDI33:GDJ33"/>
    <mergeCell ref="GDK33:GDL33"/>
    <mergeCell ref="GCS33:GCT33"/>
    <mergeCell ref="GCU33:GCV33"/>
    <mergeCell ref="GCW33:GCX33"/>
    <mergeCell ref="GCY33:GCZ33"/>
    <mergeCell ref="GDA33:GDB33"/>
    <mergeCell ref="GFK33:GFL33"/>
    <mergeCell ref="GFM33:GFN33"/>
    <mergeCell ref="GFO33:GFP33"/>
    <mergeCell ref="GFQ33:GFR33"/>
    <mergeCell ref="GFS33:GFT33"/>
    <mergeCell ref="GFA33:GFB33"/>
    <mergeCell ref="GFC33:GFD33"/>
    <mergeCell ref="GFE33:GFF33"/>
    <mergeCell ref="GFG33:GFH33"/>
    <mergeCell ref="GFI33:GFJ33"/>
    <mergeCell ref="GEQ33:GER33"/>
    <mergeCell ref="GES33:GET33"/>
    <mergeCell ref="GEU33:GEV33"/>
    <mergeCell ref="GEW33:GEX33"/>
    <mergeCell ref="GEY33:GEZ33"/>
    <mergeCell ref="GEG33:GEH33"/>
    <mergeCell ref="GEI33:GEJ33"/>
    <mergeCell ref="GEK33:GEL33"/>
    <mergeCell ref="GEM33:GEN33"/>
    <mergeCell ref="GEO33:GEP33"/>
    <mergeCell ref="GGY33:GGZ33"/>
    <mergeCell ref="GHA33:GHB33"/>
    <mergeCell ref="GHC33:GHD33"/>
    <mergeCell ref="GHE33:GHF33"/>
    <mergeCell ref="GHG33:GHH33"/>
    <mergeCell ref="GGO33:GGP33"/>
    <mergeCell ref="GGQ33:GGR33"/>
    <mergeCell ref="GGS33:GGT33"/>
    <mergeCell ref="GGU33:GGV33"/>
    <mergeCell ref="GGW33:GGX33"/>
    <mergeCell ref="GGE33:GGF33"/>
    <mergeCell ref="GGG33:GGH33"/>
    <mergeCell ref="GGI33:GGJ33"/>
    <mergeCell ref="GGK33:GGL33"/>
    <mergeCell ref="GGM33:GGN33"/>
    <mergeCell ref="GFU33:GFV33"/>
    <mergeCell ref="GFW33:GFX33"/>
    <mergeCell ref="GFY33:GFZ33"/>
    <mergeCell ref="GGA33:GGB33"/>
    <mergeCell ref="GGC33:GGD33"/>
    <mergeCell ref="GIM33:GIN33"/>
    <mergeCell ref="GIO33:GIP33"/>
    <mergeCell ref="GIQ33:GIR33"/>
    <mergeCell ref="GIS33:GIT33"/>
    <mergeCell ref="GIU33:GIV33"/>
    <mergeCell ref="GIC33:GID33"/>
    <mergeCell ref="GIE33:GIF33"/>
    <mergeCell ref="GIG33:GIH33"/>
    <mergeCell ref="GII33:GIJ33"/>
    <mergeCell ref="GIK33:GIL33"/>
    <mergeCell ref="GHS33:GHT33"/>
    <mergeCell ref="GHU33:GHV33"/>
    <mergeCell ref="GHW33:GHX33"/>
    <mergeCell ref="GHY33:GHZ33"/>
    <mergeCell ref="GIA33:GIB33"/>
    <mergeCell ref="GHI33:GHJ33"/>
    <mergeCell ref="GHK33:GHL33"/>
    <mergeCell ref="GHM33:GHN33"/>
    <mergeCell ref="GHO33:GHP33"/>
    <mergeCell ref="GHQ33:GHR33"/>
    <mergeCell ref="GKA33:GKB33"/>
    <mergeCell ref="GKC33:GKD33"/>
    <mergeCell ref="GKE33:GKF33"/>
    <mergeCell ref="GKG33:GKH33"/>
    <mergeCell ref="GKI33:GKJ33"/>
    <mergeCell ref="GJQ33:GJR33"/>
    <mergeCell ref="GJS33:GJT33"/>
    <mergeCell ref="GJU33:GJV33"/>
    <mergeCell ref="GJW33:GJX33"/>
    <mergeCell ref="GJY33:GJZ33"/>
    <mergeCell ref="GJG33:GJH33"/>
    <mergeCell ref="GJI33:GJJ33"/>
    <mergeCell ref="GJK33:GJL33"/>
    <mergeCell ref="GJM33:GJN33"/>
    <mergeCell ref="GJO33:GJP33"/>
    <mergeCell ref="GIW33:GIX33"/>
    <mergeCell ref="GIY33:GIZ33"/>
    <mergeCell ref="GJA33:GJB33"/>
    <mergeCell ref="GJC33:GJD33"/>
    <mergeCell ref="GJE33:GJF33"/>
    <mergeCell ref="GLO33:GLP33"/>
    <mergeCell ref="GLQ33:GLR33"/>
    <mergeCell ref="GLS33:GLT33"/>
    <mergeCell ref="GLU33:GLV33"/>
    <mergeCell ref="GLW33:GLX33"/>
    <mergeCell ref="GLE33:GLF33"/>
    <mergeCell ref="GLG33:GLH33"/>
    <mergeCell ref="GLI33:GLJ33"/>
    <mergeCell ref="GLK33:GLL33"/>
    <mergeCell ref="GLM33:GLN33"/>
    <mergeCell ref="GKU33:GKV33"/>
    <mergeCell ref="GKW33:GKX33"/>
    <mergeCell ref="GKY33:GKZ33"/>
    <mergeCell ref="GLA33:GLB33"/>
    <mergeCell ref="GLC33:GLD33"/>
    <mergeCell ref="GKK33:GKL33"/>
    <mergeCell ref="GKM33:GKN33"/>
    <mergeCell ref="GKO33:GKP33"/>
    <mergeCell ref="GKQ33:GKR33"/>
    <mergeCell ref="GKS33:GKT33"/>
    <mergeCell ref="GNC33:GND33"/>
    <mergeCell ref="GNE33:GNF33"/>
    <mergeCell ref="GNG33:GNH33"/>
    <mergeCell ref="GNI33:GNJ33"/>
    <mergeCell ref="GNK33:GNL33"/>
    <mergeCell ref="GMS33:GMT33"/>
    <mergeCell ref="GMU33:GMV33"/>
    <mergeCell ref="GMW33:GMX33"/>
    <mergeCell ref="GMY33:GMZ33"/>
    <mergeCell ref="GNA33:GNB33"/>
    <mergeCell ref="GMI33:GMJ33"/>
    <mergeCell ref="GMK33:GML33"/>
    <mergeCell ref="GMM33:GMN33"/>
    <mergeCell ref="GMO33:GMP33"/>
    <mergeCell ref="GMQ33:GMR33"/>
    <mergeCell ref="GLY33:GLZ33"/>
    <mergeCell ref="GMA33:GMB33"/>
    <mergeCell ref="GMC33:GMD33"/>
    <mergeCell ref="GME33:GMF33"/>
    <mergeCell ref="GMG33:GMH33"/>
    <mergeCell ref="GOQ33:GOR33"/>
    <mergeCell ref="GOS33:GOT33"/>
    <mergeCell ref="GOU33:GOV33"/>
    <mergeCell ref="GOW33:GOX33"/>
    <mergeCell ref="GOY33:GOZ33"/>
    <mergeCell ref="GOG33:GOH33"/>
    <mergeCell ref="GOI33:GOJ33"/>
    <mergeCell ref="GOK33:GOL33"/>
    <mergeCell ref="GOM33:GON33"/>
    <mergeCell ref="GOO33:GOP33"/>
    <mergeCell ref="GNW33:GNX33"/>
    <mergeCell ref="GNY33:GNZ33"/>
    <mergeCell ref="GOA33:GOB33"/>
    <mergeCell ref="GOC33:GOD33"/>
    <mergeCell ref="GOE33:GOF33"/>
    <mergeCell ref="GNM33:GNN33"/>
    <mergeCell ref="GNO33:GNP33"/>
    <mergeCell ref="GNQ33:GNR33"/>
    <mergeCell ref="GNS33:GNT33"/>
    <mergeCell ref="GNU33:GNV33"/>
    <mergeCell ref="GQE33:GQF33"/>
    <mergeCell ref="GQG33:GQH33"/>
    <mergeCell ref="GQI33:GQJ33"/>
    <mergeCell ref="GQK33:GQL33"/>
    <mergeCell ref="GQM33:GQN33"/>
    <mergeCell ref="GPU33:GPV33"/>
    <mergeCell ref="GPW33:GPX33"/>
    <mergeCell ref="GPY33:GPZ33"/>
    <mergeCell ref="GQA33:GQB33"/>
    <mergeCell ref="GQC33:GQD33"/>
    <mergeCell ref="GPK33:GPL33"/>
    <mergeCell ref="GPM33:GPN33"/>
    <mergeCell ref="GPO33:GPP33"/>
    <mergeCell ref="GPQ33:GPR33"/>
    <mergeCell ref="GPS33:GPT33"/>
    <mergeCell ref="GPA33:GPB33"/>
    <mergeCell ref="GPC33:GPD33"/>
    <mergeCell ref="GPE33:GPF33"/>
    <mergeCell ref="GPG33:GPH33"/>
    <mergeCell ref="GPI33:GPJ33"/>
    <mergeCell ref="GRS33:GRT33"/>
    <mergeCell ref="GRU33:GRV33"/>
    <mergeCell ref="GRW33:GRX33"/>
    <mergeCell ref="GRY33:GRZ33"/>
    <mergeCell ref="GSA33:GSB33"/>
    <mergeCell ref="GRI33:GRJ33"/>
    <mergeCell ref="GRK33:GRL33"/>
    <mergeCell ref="GRM33:GRN33"/>
    <mergeCell ref="GRO33:GRP33"/>
    <mergeCell ref="GRQ33:GRR33"/>
    <mergeCell ref="GQY33:GQZ33"/>
    <mergeCell ref="GRA33:GRB33"/>
    <mergeCell ref="GRC33:GRD33"/>
    <mergeCell ref="GRE33:GRF33"/>
    <mergeCell ref="GRG33:GRH33"/>
    <mergeCell ref="GQO33:GQP33"/>
    <mergeCell ref="GQQ33:GQR33"/>
    <mergeCell ref="GQS33:GQT33"/>
    <mergeCell ref="GQU33:GQV33"/>
    <mergeCell ref="GQW33:GQX33"/>
    <mergeCell ref="GTG33:GTH33"/>
    <mergeCell ref="GTI33:GTJ33"/>
    <mergeCell ref="GTK33:GTL33"/>
    <mergeCell ref="GTM33:GTN33"/>
    <mergeCell ref="GTO33:GTP33"/>
    <mergeCell ref="GSW33:GSX33"/>
    <mergeCell ref="GSY33:GSZ33"/>
    <mergeCell ref="GTA33:GTB33"/>
    <mergeCell ref="GTC33:GTD33"/>
    <mergeCell ref="GTE33:GTF33"/>
    <mergeCell ref="GSM33:GSN33"/>
    <mergeCell ref="GSO33:GSP33"/>
    <mergeCell ref="GSQ33:GSR33"/>
    <mergeCell ref="GSS33:GST33"/>
    <mergeCell ref="GSU33:GSV33"/>
    <mergeCell ref="GSC33:GSD33"/>
    <mergeCell ref="GSE33:GSF33"/>
    <mergeCell ref="GSG33:GSH33"/>
    <mergeCell ref="GSI33:GSJ33"/>
    <mergeCell ref="GSK33:GSL33"/>
    <mergeCell ref="GUU33:GUV33"/>
    <mergeCell ref="GUW33:GUX33"/>
    <mergeCell ref="GUY33:GUZ33"/>
    <mergeCell ref="GVA33:GVB33"/>
    <mergeCell ref="GVC33:GVD33"/>
    <mergeCell ref="GUK33:GUL33"/>
    <mergeCell ref="GUM33:GUN33"/>
    <mergeCell ref="GUO33:GUP33"/>
    <mergeCell ref="GUQ33:GUR33"/>
    <mergeCell ref="GUS33:GUT33"/>
    <mergeCell ref="GUA33:GUB33"/>
    <mergeCell ref="GUC33:GUD33"/>
    <mergeCell ref="GUE33:GUF33"/>
    <mergeCell ref="GUG33:GUH33"/>
    <mergeCell ref="GUI33:GUJ33"/>
    <mergeCell ref="GTQ33:GTR33"/>
    <mergeCell ref="GTS33:GTT33"/>
    <mergeCell ref="GTU33:GTV33"/>
    <mergeCell ref="GTW33:GTX33"/>
    <mergeCell ref="GTY33:GTZ33"/>
    <mergeCell ref="GWI33:GWJ33"/>
    <mergeCell ref="GWK33:GWL33"/>
    <mergeCell ref="GWM33:GWN33"/>
    <mergeCell ref="GWO33:GWP33"/>
    <mergeCell ref="GWQ33:GWR33"/>
    <mergeCell ref="GVY33:GVZ33"/>
    <mergeCell ref="GWA33:GWB33"/>
    <mergeCell ref="GWC33:GWD33"/>
    <mergeCell ref="GWE33:GWF33"/>
    <mergeCell ref="GWG33:GWH33"/>
    <mergeCell ref="GVO33:GVP33"/>
    <mergeCell ref="GVQ33:GVR33"/>
    <mergeCell ref="GVS33:GVT33"/>
    <mergeCell ref="GVU33:GVV33"/>
    <mergeCell ref="GVW33:GVX33"/>
    <mergeCell ref="GVE33:GVF33"/>
    <mergeCell ref="GVG33:GVH33"/>
    <mergeCell ref="GVI33:GVJ33"/>
    <mergeCell ref="GVK33:GVL33"/>
    <mergeCell ref="GVM33:GVN33"/>
    <mergeCell ref="GXW33:GXX33"/>
    <mergeCell ref="GXY33:GXZ33"/>
    <mergeCell ref="GYA33:GYB33"/>
    <mergeCell ref="GYC33:GYD33"/>
    <mergeCell ref="GYE33:GYF33"/>
    <mergeCell ref="GXM33:GXN33"/>
    <mergeCell ref="GXO33:GXP33"/>
    <mergeCell ref="GXQ33:GXR33"/>
    <mergeCell ref="GXS33:GXT33"/>
    <mergeCell ref="GXU33:GXV33"/>
    <mergeCell ref="GXC33:GXD33"/>
    <mergeCell ref="GXE33:GXF33"/>
    <mergeCell ref="GXG33:GXH33"/>
    <mergeCell ref="GXI33:GXJ33"/>
    <mergeCell ref="GXK33:GXL33"/>
    <mergeCell ref="GWS33:GWT33"/>
    <mergeCell ref="GWU33:GWV33"/>
    <mergeCell ref="GWW33:GWX33"/>
    <mergeCell ref="GWY33:GWZ33"/>
    <mergeCell ref="GXA33:GXB33"/>
    <mergeCell ref="GZK33:GZL33"/>
    <mergeCell ref="GZM33:GZN33"/>
    <mergeCell ref="GZO33:GZP33"/>
    <mergeCell ref="GZQ33:GZR33"/>
    <mergeCell ref="GZS33:GZT33"/>
    <mergeCell ref="GZA33:GZB33"/>
    <mergeCell ref="GZC33:GZD33"/>
    <mergeCell ref="GZE33:GZF33"/>
    <mergeCell ref="GZG33:GZH33"/>
    <mergeCell ref="GZI33:GZJ33"/>
    <mergeCell ref="GYQ33:GYR33"/>
    <mergeCell ref="GYS33:GYT33"/>
    <mergeCell ref="GYU33:GYV33"/>
    <mergeCell ref="GYW33:GYX33"/>
    <mergeCell ref="GYY33:GYZ33"/>
    <mergeCell ref="GYG33:GYH33"/>
    <mergeCell ref="GYI33:GYJ33"/>
    <mergeCell ref="GYK33:GYL33"/>
    <mergeCell ref="GYM33:GYN33"/>
    <mergeCell ref="GYO33:GYP33"/>
    <mergeCell ref="HAY33:HAZ33"/>
    <mergeCell ref="HBA33:HBB33"/>
    <mergeCell ref="HBC33:HBD33"/>
    <mergeCell ref="HBE33:HBF33"/>
    <mergeCell ref="HBG33:HBH33"/>
    <mergeCell ref="HAO33:HAP33"/>
    <mergeCell ref="HAQ33:HAR33"/>
    <mergeCell ref="HAS33:HAT33"/>
    <mergeCell ref="HAU33:HAV33"/>
    <mergeCell ref="HAW33:HAX33"/>
    <mergeCell ref="HAE33:HAF33"/>
    <mergeCell ref="HAG33:HAH33"/>
    <mergeCell ref="HAI33:HAJ33"/>
    <mergeCell ref="HAK33:HAL33"/>
    <mergeCell ref="HAM33:HAN33"/>
    <mergeCell ref="GZU33:GZV33"/>
    <mergeCell ref="GZW33:GZX33"/>
    <mergeCell ref="GZY33:GZZ33"/>
    <mergeCell ref="HAA33:HAB33"/>
    <mergeCell ref="HAC33:HAD33"/>
    <mergeCell ref="HCM33:HCN33"/>
    <mergeCell ref="HCO33:HCP33"/>
    <mergeCell ref="HCQ33:HCR33"/>
    <mergeCell ref="HCS33:HCT33"/>
    <mergeCell ref="HCU33:HCV33"/>
    <mergeCell ref="HCC33:HCD33"/>
    <mergeCell ref="HCE33:HCF33"/>
    <mergeCell ref="HCG33:HCH33"/>
    <mergeCell ref="HCI33:HCJ33"/>
    <mergeCell ref="HCK33:HCL33"/>
    <mergeCell ref="HBS33:HBT33"/>
    <mergeCell ref="HBU33:HBV33"/>
    <mergeCell ref="HBW33:HBX33"/>
    <mergeCell ref="HBY33:HBZ33"/>
    <mergeCell ref="HCA33:HCB33"/>
    <mergeCell ref="HBI33:HBJ33"/>
    <mergeCell ref="HBK33:HBL33"/>
    <mergeCell ref="HBM33:HBN33"/>
    <mergeCell ref="HBO33:HBP33"/>
    <mergeCell ref="HBQ33:HBR33"/>
    <mergeCell ref="HEA33:HEB33"/>
    <mergeCell ref="HEC33:HED33"/>
    <mergeCell ref="HEE33:HEF33"/>
    <mergeCell ref="HEG33:HEH33"/>
    <mergeCell ref="HEI33:HEJ33"/>
    <mergeCell ref="HDQ33:HDR33"/>
    <mergeCell ref="HDS33:HDT33"/>
    <mergeCell ref="HDU33:HDV33"/>
    <mergeCell ref="HDW33:HDX33"/>
    <mergeCell ref="HDY33:HDZ33"/>
    <mergeCell ref="HDG33:HDH33"/>
    <mergeCell ref="HDI33:HDJ33"/>
    <mergeCell ref="HDK33:HDL33"/>
    <mergeCell ref="HDM33:HDN33"/>
    <mergeCell ref="HDO33:HDP33"/>
    <mergeCell ref="HCW33:HCX33"/>
    <mergeCell ref="HCY33:HCZ33"/>
    <mergeCell ref="HDA33:HDB33"/>
    <mergeCell ref="HDC33:HDD33"/>
    <mergeCell ref="HDE33:HDF33"/>
    <mergeCell ref="HFO33:HFP33"/>
    <mergeCell ref="HFQ33:HFR33"/>
    <mergeCell ref="HFS33:HFT33"/>
    <mergeCell ref="HFU33:HFV33"/>
    <mergeCell ref="HFW33:HFX33"/>
    <mergeCell ref="HFE33:HFF33"/>
    <mergeCell ref="HFG33:HFH33"/>
    <mergeCell ref="HFI33:HFJ33"/>
    <mergeCell ref="HFK33:HFL33"/>
    <mergeCell ref="HFM33:HFN33"/>
    <mergeCell ref="HEU33:HEV33"/>
    <mergeCell ref="HEW33:HEX33"/>
    <mergeCell ref="HEY33:HEZ33"/>
    <mergeCell ref="HFA33:HFB33"/>
    <mergeCell ref="HFC33:HFD33"/>
    <mergeCell ref="HEK33:HEL33"/>
    <mergeCell ref="HEM33:HEN33"/>
    <mergeCell ref="HEO33:HEP33"/>
    <mergeCell ref="HEQ33:HER33"/>
    <mergeCell ref="HES33:HET33"/>
    <mergeCell ref="HHC33:HHD33"/>
    <mergeCell ref="HHE33:HHF33"/>
    <mergeCell ref="HHG33:HHH33"/>
    <mergeCell ref="HHI33:HHJ33"/>
    <mergeCell ref="HHK33:HHL33"/>
    <mergeCell ref="HGS33:HGT33"/>
    <mergeCell ref="HGU33:HGV33"/>
    <mergeCell ref="HGW33:HGX33"/>
    <mergeCell ref="HGY33:HGZ33"/>
    <mergeCell ref="HHA33:HHB33"/>
    <mergeCell ref="HGI33:HGJ33"/>
    <mergeCell ref="HGK33:HGL33"/>
    <mergeCell ref="HGM33:HGN33"/>
    <mergeCell ref="HGO33:HGP33"/>
    <mergeCell ref="HGQ33:HGR33"/>
    <mergeCell ref="HFY33:HFZ33"/>
    <mergeCell ref="HGA33:HGB33"/>
    <mergeCell ref="HGC33:HGD33"/>
    <mergeCell ref="HGE33:HGF33"/>
    <mergeCell ref="HGG33:HGH33"/>
    <mergeCell ref="HIQ33:HIR33"/>
    <mergeCell ref="HIS33:HIT33"/>
    <mergeCell ref="HIU33:HIV33"/>
    <mergeCell ref="HIW33:HIX33"/>
    <mergeCell ref="HIY33:HIZ33"/>
    <mergeCell ref="HIG33:HIH33"/>
    <mergeCell ref="HII33:HIJ33"/>
    <mergeCell ref="HIK33:HIL33"/>
    <mergeCell ref="HIM33:HIN33"/>
    <mergeCell ref="HIO33:HIP33"/>
    <mergeCell ref="HHW33:HHX33"/>
    <mergeCell ref="HHY33:HHZ33"/>
    <mergeCell ref="HIA33:HIB33"/>
    <mergeCell ref="HIC33:HID33"/>
    <mergeCell ref="HIE33:HIF33"/>
    <mergeCell ref="HHM33:HHN33"/>
    <mergeCell ref="HHO33:HHP33"/>
    <mergeCell ref="HHQ33:HHR33"/>
    <mergeCell ref="HHS33:HHT33"/>
    <mergeCell ref="HHU33:HHV33"/>
    <mergeCell ref="HKE33:HKF33"/>
    <mergeCell ref="HKG33:HKH33"/>
    <mergeCell ref="HKI33:HKJ33"/>
    <mergeCell ref="HKK33:HKL33"/>
    <mergeCell ref="HKM33:HKN33"/>
    <mergeCell ref="HJU33:HJV33"/>
    <mergeCell ref="HJW33:HJX33"/>
    <mergeCell ref="HJY33:HJZ33"/>
    <mergeCell ref="HKA33:HKB33"/>
    <mergeCell ref="HKC33:HKD33"/>
    <mergeCell ref="HJK33:HJL33"/>
    <mergeCell ref="HJM33:HJN33"/>
    <mergeCell ref="HJO33:HJP33"/>
    <mergeCell ref="HJQ33:HJR33"/>
    <mergeCell ref="HJS33:HJT33"/>
    <mergeCell ref="HJA33:HJB33"/>
    <mergeCell ref="HJC33:HJD33"/>
    <mergeCell ref="HJE33:HJF33"/>
    <mergeCell ref="HJG33:HJH33"/>
    <mergeCell ref="HJI33:HJJ33"/>
    <mergeCell ref="HLS33:HLT33"/>
    <mergeCell ref="HLU33:HLV33"/>
    <mergeCell ref="HLW33:HLX33"/>
    <mergeCell ref="HLY33:HLZ33"/>
    <mergeCell ref="HMA33:HMB33"/>
    <mergeCell ref="HLI33:HLJ33"/>
    <mergeCell ref="HLK33:HLL33"/>
    <mergeCell ref="HLM33:HLN33"/>
    <mergeCell ref="HLO33:HLP33"/>
    <mergeCell ref="HLQ33:HLR33"/>
    <mergeCell ref="HKY33:HKZ33"/>
    <mergeCell ref="HLA33:HLB33"/>
    <mergeCell ref="HLC33:HLD33"/>
    <mergeCell ref="HLE33:HLF33"/>
    <mergeCell ref="HLG33:HLH33"/>
    <mergeCell ref="HKO33:HKP33"/>
    <mergeCell ref="HKQ33:HKR33"/>
    <mergeCell ref="HKS33:HKT33"/>
    <mergeCell ref="HKU33:HKV33"/>
    <mergeCell ref="HKW33:HKX33"/>
    <mergeCell ref="HNG33:HNH33"/>
    <mergeCell ref="HNI33:HNJ33"/>
    <mergeCell ref="HNK33:HNL33"/>
    <mergeCell ref="HNM33:HNN33"/>
    <mergeCell ref="HNO33:HNP33"/>
    <mergeCell ref="HMW33:HMX33"/>
    <mergeCell ref="HMY33:HMZ33"/>
    <mergeCell ref="HNA33:HNB33"/>
    <mergeCell ref="HNC33:HND33"/>
    <mergeCell ref="HNE33:HNF33"/>
    <mergeCell ref="HMM33:HMN33"/>
    <mergeCell ref="HMO33:HMP33"/>
    <mergeCell ref="HMQ33:HMR33"/>
    <mergeCell ref="HMS33:HMT33"/>
    <mergeCell ref="HMU33:HMV33"/>
    <mergeCell ref="HMC33:HMD33"/>
    <mergeCell ref="HME33:HMF33"/>
    <mergeCell ref="HMG33:HMH33"/>
    <mergeCell ref="HMI33:HMJ33"/>
    <mergeCell ref="HMK33:HML33"/>
    <mergeCell ref="HOU33:HOV33"/>
    <mergeCell ref="HOW33:HOX33"/>
    <mergeCell ref="HOY33:HOZ33"/>
    <mergeCell ref="HPA33:HPB33"/>
    <mergeCell ref="HPC33:HPD33"/>
    <mergeCell ref="HOK33:HOL33"/>
    <mergeCell ref="HOM33:HON33"/>
    <mergeCell ref="HOO33:HOP33"/>
    <mergeCell ref="HOQ33:HOR33"/>
    <mergeCell ref="HOS33:HOT33"/>
    <mergeCell ref="HOA33:HOB33"/>
    <mergeCell ref="HOC33:HOD33"/>
    <mergeCell ref="HOE33:HOF33"/>
    <mergeCell ref="HOG33:HOH33"/>
    <mergeCell ref="HOI33:HOJ33"/>
    <mergeCell ref="HNQ33:HNR33"/>
    <mergeCell ref="HNS33:HNT33"/>
    <mergeCell ref="HNU33:HNV33"/>
    <mergeCell ref="HNW33:HNX33"/>
    <mergeCell ref="HNY33:HNZ33"/>
    <mergeCell ref="HQI33:HQJ33"/>
    <mergeCell ref="HQK33:HQL33"/>
    <mergeCell ref="HQM33:HQN33"/>
    <mergeCell ref="HQO33:HQP33"/>
    <mergeCell ref="HQQ33:HQR33"/>
    <mergeCell ref="HPY33:HPZ33"/>
    <mergeCell ref="HQA33:HQB33"/>
    <mergeCell ref="HQC33:HQD33"/>
    <mergeCell ref="HQE33:HQF33"/>
    <mergeCell ref="HQG33:HQH33"/>
    <mergeCell ref="HPO33:HPP33"/>
    <mergeCell ref="HPQ33:HPR33"/>
    <mergeCell ref="HPS33:HPT33"/>
    <mergeCell ref="HPU33:HPV33"/>
    <mergeCell ref="HPW33:HPX33"/>
    <mergeCell ref="HPE33:HPF33"/>
    <mergeCell ref="HPG33:HPH33"/>
    <mergeCell ref="HPI33:HPJ33"/>
    <mergeCell ref="HPK33:HPL33"/>
    <mergeCell ref="HPM33:HPN33"/>
    <mergeCell ref="HRW33:HRX33"/>
    <mergeCell ref="HRY33:HRZ33"/>
    <mergeCell ref="HSA33:HSB33"/>
    <mergeCell ref="HSC33:HSD33"/>
    <mergeCell ref="HSE33:HSF33"/>
    <mergeCell ref="HRM33:HRN33"/>
    <mergeCell ref="HRO33:HRP33"/>
    <mergeCell ref="HRQ33:HRR33"/>
    <mergeCell ref="HRS33:HRT33"/>
    <mergeCell ref="HRU33:HRV33"/>
    <mergeCell ref="HRC33:HRD33"/>
    <mergeCell ref="HRE33:HRF33"/>
    <mergeCell ref="HRG33:HRH33"/>
    <mergeCell ref="HRI33:HRJ33"/>
    <mergeCell ref="HRK33:HRL33"/>
    <mergeCell ref="HQS33:HQT33"/>
    <mergeCell ref="HQU33:HQV33"/>
    <mergeCell ref="HQW33:HQX33"/>
    <mergeCell ref="HQY33:HQZ33"/>
    <mergeCell ref="HRA33:HRB33"/>
    <mergeCell ref="HTK33:HTL33"/>
    <mergeCell ref="HTM33:HTN33"/>
    <mergeCell ref="HTO33:HTP33"/>
    <mergeCell ref="HTQ33:HTR33"/>
    <mergeCell ref="HTS33:HTT33"/>
    <mergeCell ref="HTA33:HTB33"/>
    <mergeCell ref="HTC33:HTD33"/>
    <mergeCell ref="HTE33:HTF33"/>
    <mergeCell ref="HTG33:HTH33"/>
    <mergeCell ref="HTI33:HTJ33"/>
    <mergeCell ref="HSQ33:HSR33"/>
    <mergeCell ref="HSS33:HST33"/>
    <mergeCell ref="HSU33:HSV33"/>
    <mergeCell ref="HSW33:HSX33"/>
    <mergeCell ref="HSY33:HSZ33"/>
    <mergeCell ref="HSG33:HSH33"/>
    <mergeCell ref="HSI33:HSJ33"/>
    <mergeCell ref="HSK33:HSL33"/>
    <mergeCell ref="HSM33:HSN33"/>
    <mergeCell ref="HSO33:HSP33"/>
    <mergeCell ref="HUY33:HUZ33"/>
    <mergeCell ref="HVA33:HVB33"/>
    <mergeCell ref="HVC33:HVD33"/>
    <mergeCell ref="HVE33:HVF33"/>
    <mergeCell ref="HVG33:HVH33"/>
    <mergeCell ref="HUO33:HUP33"/>
    <mergeCell ref="HUQ33:HUR33"/>
    <mergeCell ref="HUS33:HUT33"/>
    <mergeCell ref="HUU33:HUV33"/>
    <mergeCell ref="HUW33:HUX33"/>
    <mergeCell ref="HUE33:HUF33"/>
    <mergeCell ref="HUG33:HUH33"/>
    <mergeCell ref="HUI33:HUJ33"/>
    <mergeCell ref="HUK33:HUL33"/>
    <mergeCell ref="HUM33:HUN33"/>
    <mergeCell ref="HTU33:HTV33"/>
    <mergeCell ref="HTW33:HTX33"/>
    <mergeCell ref="HTY33:HTZ33"/>
    <mergeCell ref="HUA33:HUB33"/>
    <mergeCell ref="HUC33:HUD33"/>
    <mergeCell ref="HWM33:HWN33"/>
    <mergeCell ref="HWO33:HWP33"/>
    <mergeCell ref="HWQ33:HWR33"/>
    <mergeCell ref="HWS33:HWT33"/>
    <mergeCell ref="HWU33:HWV33"/>
    <mergeCell ref="HWC33:HWD33"/>
    <mergeCell ref="HWE33:HWF33"/>
    <mergeCell ref="HWG33:HWH33"/>
    <mergeCell ref="HWI33:HWJ33"/>
    <mergeCell ref="HWK33:HWL33"/>
    <mergeCell ref="HVS33:HVT33"/>
    <mergeCell ref="HVU33:HVV33"/>
    <mergeCell ref="HVW33:HVX33"/>
    <mergeCell ref="HVY33:HVZ33"/>
    <mergeCell ref="HWA33:HWB33"/>
    <mergeCell ref="HVI33:HVJ33"/>
    <mergeCell ref="HVK33:HVL33"/>
    <mergeCell ref="HVM33:HVN33"/>
    <mergeCell ref="HVO33:HVP33"/>
    <mergeCell ref="HVQ33:HVR33"/>
    <mergeCell ref="HYA33:HYB33"/>
    <mergeCell ref="HYC33:HYD33"/>
    <mergeCell ref="HYE33:HYF33"/>
    <mergeCell ref="HYG33:HYH33"/>
    <mergeCell ref="HYI33:HYJ33"/>
    <mergeCell ref="HXQ33:HXR33"/>
    <mergeCell ref="HXS33:HXT33"/>
    <mergeCell ref="HXU33:HXV33"/>
    <mergeCell ref="HXW33:HXX33"/>
    <mergeCell ref="HXY33:HXZ33"/>
    <mergeCell ref="HXG33:HXH33"/>
    <mergeCell ref="HXI33:HXJ33"/>
    <mergeCell ref="HXK33:HXL33"/>
    <mergeCell ref="HXM33:HXN33"/>
    <mergeCell ref="HXO33:HXP33"/>
    <mergeCell ref="HWW33:HWX33"/>
    <mergeCell ref="HWY33:HWZ33"/>
    <mergeCell ref="HXA33:HXB33"/>
    <mergeCell ref="HXC33:HXD33"/>
    <mergeCell ref="HXE33:HXF33"/>
    <mergeCell ref="HZO33:HZP33"/>
    <mergeCell ref="HZQ33:HZR33"/>
    <mergeCell ref="HZS33:HZT33"/>
    <mergeCell ref="HZU33:HZV33"/>
    <mergeCell ref="HZW33:HZX33"/>
    <mergeCell ref="HZE33:HZF33"/>
    <mergeCell ref="HZG33:HZH33"/>
    <mergeCell ref="HZI33:HZJ33"/>
    <mergeCell ref="HZK33:HZL33"/>
    <mergeCell ref="HZM33:HZN33"/>
    <mergeCell ref="HYU33:HYV33"/>
    <mergeCell ref="HYW33:HYX33"/>
    <mergeCell ref="HYY33:HYZ33"/>
    <mergeCell ref="HZA33:HZB33"/>
    <mergeCell ref="HZC33:HZD33"/>
    <mergeCell ref="HYK33:HYL33"/>
    <mergeCell ref="HYM33:HYN33"/>
    <mergeCell ref="HYO33:HYP33"/>
    <mergeCell ref="HYQ33:HYR33"/>
    <mergeCell ref="HYS33:HYT33"/>
    <mergeCell ref="IBC33:IBD33"/>
    <mergeCell ref="IBE33:IBF33"/>
    <mergeCell ref="IBG33:IBH33"/>
    <mergeCell ref="IBI33:IBJ33"/>
    <mergeCell ref="IBK33:IBL33"/>
    <mergeCell ref="IAS33:IAT33"/>
    <mergeCell ref="IAU33:IAV33"/>
    <mergeCell ref="IAW33:IAX33"/>
    <mergeCell ref="IAY33:IAZ33"/>
    <mergeCell ref="IBA33:IBB33"/>
    <mergeCell ref="IAI33:IAJ33"/>
    <mergeCell ref="IAK33:IAL33"/>
    <mergeCell ref="IAM33:IAN33"/>
    <mergeCell ref="IAO33:IAP33"/>
    <mergeCell ref="IAQ33:IAR33"/>
    <mergeCell ref="HZY33:HZZ33"/>
    <mergeCell ref="IAA33:IAB33"/>
    <mergeCell ref="IAC33:IAD33"/>
    <mergeCell ref="IAE33:IAF33"/>
    <mergeCell ref="IAG33:IAH33"/>
    <mergeCell ref="ICQ33:ICR33"/>
    <mergeCell ref="ICS33:ICT33"/>
    <mergeCell ref="ICU33:ICV33"/>
    <mergeCell ref="ICW33:ICX33"/>
    <mergeCell ref="ICY33:ICZ33"/>
    <mergeCell ref="ICG33:ICH33"/>
    <mergeCell ref="ICI33:ICJ33"/>
    <mergeCell ref="ICK33:ICL33"/>
    <mergeCell ref="ICM33:ICN33"/>
    <mergeCell ref="ICO33:ICP33"/>
    <mergeCell ref="IBW33:IBX33"/>
    <mergeCell ref="IBY33:IBZ33"/>
    <mergeCell ref="ICA33:ICB33"/>
    <mergeCell ref="ICC33:ICD33"/>
    <mergeCell ref="ICE33:ICF33"/>
    <mergeCell ref="IBM33:IBN33"/>
    <mergeCell ref="IBO33:IBP33"/>
    <mergeCell ref="IBQ33:IBR33"/>
    <mergeCell ref="IBS33:IBT33"/>
    <mergeCell ref="IBU33:IBV33"/>
    <mergeCell ref="IEE33:IEF33"/>
    <mergeCell ref="IEG33:IEH33"/>
    <mergeCell ref="IEI33:IEJ33"/>
    <mergeCell ref="IEK33:IEL33"/>
    <mergeCell ref="IEM33:IEN33"/>
    <mergeCell ref="IDU33:IDV33"/>
    <mergeCell ref="IDW33:IDX33"/>
    <mergeCell ref="IDY33:IDZ33"/>
    <mergeCell ref="IEA33:IEB33"/>
    <mergeCell ref="IEC33:IED33"/>
    <mergeCell ref="IDK33:IDL33"/>
    <mergeCell ref="IDM33:IDN33"/>
    <mergeCell ref="IDO33:IDP33"/>
    <mergeCell ref="IDQ33:IDR33"/>
    <mergeCell ref="IDS33:IDT33"/>
    <mergeCell ref="IDA33:IDB33"/>
    <mergeCell ref="IDC33:IDD33"/>
    <mergeCell ref="IDE33:IDF33"/>
    <mergeCell ref="IDG33:IDH33"/>
    <mergeCell ref="IDI33:IDJ33"/>
    <mergeCell ref="IFS33:IFT33"/>
    <mergeCell ref="IFU33:IFV33"/>
    <mergeCell ref="IFW33:IFX33"/>
    <mergeCell ref="IFY33:IFZ33"/>
    <mergeCell ref="IGA33:IGB33"/>
    <mergeCell ref="IFI33:IFJ33"/>
    <mergeCell ref="IFK33:IFL33"/>
    <mergeCell ref="IFM33:IFN33"/>
    <mergeCell ref="IFO33:IFP33"/>
    <mergeCell ref="IFQ33:IFR33"/>
    <mergeCell ref="IEY33:IEZ33"/>
    <mergeCell ref="IFA33:IFB33"/>
    <mergeCell ref="IFC33:IFD33"/>
    <mergeCell ref="IFE33:IFF33"/>
    <mergeCell ref="IFG33:IFH33"/>
    <mergeCell ref="IEO33:IEP33"/>
    <mergeCell ref="IEQ33:IER33"/>
    <mergeCell ref="IES33:IET33"/>
    <mergeCell ref="IEU33:IEV33"/>
    <mergeCell ref="IEW33:IEX33"/>
    <mergeCell ref="IHG33:IHH33"/>
    <mergeCell ref="IHI33:IHJ33"/>
    <mergeCell ref="IHK33:IHL33"/>
    <mergeCell ref="IHM33:IHN33"/>
    <mergeCell ref="IHO33:IHP33"/>
    <mergeCell ref="IGW33:IGX33"/>
    <mergeCell ref="IGY33:IGZ33"/>
    <mergeCell ref="IHA33:IHB33"/>
    <mergeCell ref="IHC33:IHD33"/>
    <mergeCell ref="IHE33:IHF33"/>
    <mergeCell ref="IGM33:IGN33"/>
    <mergeCell ref="IGO33:IGP33"/>
    <mergeCell ref="IGQ33:IGR33"/>
    <mergeCell ref="IGS33:IGT33"/>
    <mergeCell ref="IGU33:IGV33"/>
    <mergeCell ref="IGC33:IGD33"/>
    <mergeCell ref="IGE33:IGF33"/>
    <mergeCell ref="IGG33:IGH33"/>
    <mergeCell ref="IGI33:IGJ33"/>
    <mergeCell ref="IGK33:IGL33"/>
    <mergeCell ref="IIU33:IIV33"/>
    <mergeCell ref="IIW33:IIX33"/>
    <mergeCell ref="IIY33:IIZ33"/>
    <mergeCell ref="IJA33:IJB33"/>
    <mergeCell ref="IJC33:IJD33"/>
    <mergeCell ref="IIK33:IIL33"/>
    <mergeCell ref="IIM33:IIN33"/>
    <mergeCell ref="IIO33:IIP33"/>
    <mergeCell ref="IIQ33:IIR33"/>
    <mergeCell ref="IIS33:IIT33"/>
    <mergeCell ref="IIA33:IIB33"/>
    <mergeCell ref="IIC33:IID33"/>
    <mergeCell ref="IIE33:IIF33"/>
    <mergeCell ref="IIG33:IIH33"/>
    <mergeCell ref="III33:IIJ33"/>
    <mergeCell ref="IHQ33:IHR33"/>
    <mergeCell ref="IHS33:IHT33"/>
    <mergeCell ref="IHU33:IHV33"/>
    <mergeCell ref="IHW33:IHX33"/>
    <mergeCell ref="IHY33:IHZ33"/>
    <mergeCell ref="IKI33:IKJ33"/>
    <mergeCell ref="IKK33:IKL33"/>
    <mergeCell ref="IKM33:IKN33"/>
    <mergeCell ref="IKO33:IKP33"/>
    <mergeCell ref="IKQ33:IKR33"/>
    <mergeCell ref="IJY33:IJZ33"/>
    <mergeCell ref="IKA33:IKB33"/>
    <mergeCell ref="IKC33:IKD33"/>
    <mergeCell ref="IKE33:IKF33"/>
    <mergeCell ref="IKG33:IKH33"/>
    <mergeCell ref="IJO33:IJP33"/>
    <mergeCell ref="IJQ33:IJR33"/>
    <mergeCell ref="IJS33:IJT33"/>
    <mergeCell ref="IJU33:IJV33"/>
    <mergeCell ref="IJW33:IJX33"/>
    <mergeCell ref="IJE33:IJF33"/>
    <mergeCell ref="IJG33:IJH33"/>
    <mergeCell ref="IJI33:IJJ33"/>
    <mergeCell ref="IJK33:IJL33"/>
    <mergeCell ref="IJM33:IJN33"/>
    <mergeCell ref="ILW33:ILX33"/>
    <mergeCell ref="ILY33:ILZ33"/>
    <mergeCell ref="IMA33:IMB33"/>
    <mergeCell ref="IMC33:IMD33"/>
    <mergeCell ref="IME33:IMF33"/>
    <mergeCell ref="ILM33:ILN33"/>
    <mergeCell ref="ILO33:ILP33"/>
    <mergeCell ref="ILQ33:ILR33"/>
    <mergeCell ref="ILS33:ILT33"/>
    <mergeCell ref="ILU33:ILV33"/>
    <mergeCell ref="ILC33:ILD33"/>
    <mergeCell ref="ILE33:ILF33"/>
    <mergeCell ref="ILG33:ILH33"/>
    <mergeCell ref="ILI33:ILJ33"/>
    <mergeCell ref="ILK33:ILL33"/>
    <mergeCell ref="IKS33:IKT33"/>
    <mergeCell ref="IKU33:IKV33"/>
    <mergeCell ref="IKW33:IKX33"/>
    <mergeCell ref="IKY33:IKZ33"/>
    <mergeCell ref="ILA33:ILB33"/>
    <mergeCell ref="INK33:INL33"/>
    <mergeCell ref="INM33:INN33"/>
    <mergeCell ref="INO33:INP33"/>
    <mergeCell ref="INQ33:INR33"/>
    <mergeCell ref="INS33:INT33"/>
    <mergeCell ref="INA33:INB33"/>
    <mergeCell ref="INC33:IND33"/>
    <mergeCell ref="INE33:INF33"/>
    <mergeCell ref="ING33:INH33"/>
    <mergeCell ref="INI33:INJ33"/>
    <mergeCell ref="IMQ33:IMR33"/>
    <mergeCell ref="IMS33:IMT33"/>
    <mergeCell ref="IMU33:IMV33"/>
    <mergeCell ref="IMW33:IMX33"/>
    <mergeCell ref="IMY33:IMZ33"/>
    <mergeCell ref="IMG33:IMH33"/>
    <mergeCell ref="IMI33:IMJ33"/>
    <mergeCell ref="IMK33:IML33"/>
    <mergeCell ref="IMM33:IMN33"/>
    <mergeCell ref="IMO33:IMP33"/>
    <mergeCell ref="IOY33:IOZ33"/>
    <mergeCell ref="IPA33:IPB33"/>
    <mergeCell ref="IPC33:IPD33"/>
    <mergeCell ref="IPE33:IPF33"/>
    <mergeCell ref="IPG33:IPH33"/>
    <mergeCell ref="IOO33:IOP33"/>
    <mergeCell ref="IOQ33:IOR33"/>
    <mergeCell ref="IOS33:IOT33"/>
    <mergeCell ref="IOU33:IOV33"/>
    <mergeCell ref="IOW33:IOX33"/>
    <mergeCell ref="IOE33:IOF33"/>
    <mergeCell ref="IOG33:IOH33"/>
    <mergeCell ref="IOI33:IOJ33"/>
    <mergeCell ref="IOK33:IOL33"/>
    <mergeCell ref="IOM33:ION33"/>
    <mergeCell ref="INU33:INV33"/>
    <mergeCell ref="INW33:INX33"/>
    <mergeCell ref="INY33:INZ33"/>
    <mergeCell ref="IOA33:IOB33"/>
    <mergeCell ref="IOC33:IOD33"/>
    <mergeCell ref="IQM33:IQN33"/>
    <mergeCell ref="IQO33:IQP33"/>
    <mergeCell ref="IQQ33:IQR33"/>
    <mergeCell ref="IQS33:IQT33"/>
    <mergeCell ref="IQU33:IQV33"/>
    <mergeCell ref="IQC33:IQD33"/>
    <mergeCell ref="IQE33:IQF33"/>
    <mergeCell ref="IQG33:IQH33"/>
    <mergeCell ref="IQI33:IQJ33"/>
    <mergeCell ref="IQK33:IQL33"/>
    <mergeCell ref="IPS33:IPT33"/>
    <mergeCell ref="IPU33:IPV33"/>
    <mergeCell ref="IPW33:IPX33"/>
    <mergeCell ref="IPY33:IPZ33"/>
    <mergeCell ref="IQA33:IQB33"/>
    <mergeCell ref="IPI33:IPJ33"/>
    <mergeCell ref="IPK33:IPL33"/>
    <mergeCell ref="IPM33:IPN33"/>
    <mergeCell ref="IPO33:IPP33"/>
    <mergeCell ref="IPQ33:IPR33"/>
    <mergeCell ref="ISA33:ISB33"/>
    <mergeCell ref="ISC33:ISD33"/>
    <mergeCell ref="ISE33:ISF33"/>
    <mergeCell ref="ISG33:ISH33"/>
    <mergeCell ref="ISI33:ISJ33"/>
    <mergeCell ref="IRQ33:IRR33"/>
    <mergeCell ref="IRS33:IRT33"/>
    <mergeCell ref="IRU33:IRV33"/>
    <mergeCell ref="IRW33:IRX33"/>
    <mergeCell ref="IRY33:IRZ33"/>
    <mergeCell ref="IRG33:IRH33"/>
    <mergeCell ref="IRI33:IRJ33"/>
    <mergeCell ref="IRK33:IRL33"/>
    <mergeCell ref="IRM33:IRN33"/>
    <mergeCell ref="IRO33:IRP33"/>
    <mergeCell ref="IQW33:IQX33"/>
    <mergeCell ref="IQY33:IQZ33"/>
    <mergeCell ref="IRA33:IRB33"/>
    <mergeCell ref="IRC33:IRD33"/>
    <mergeCell ref="IRE33:IRF33"/>
    <mergeCell ref="ITO33:ITP33"/>
    <mergeCell ref="ITQ33:ITR33"/>
    <mergeCell ref="ITS33:ITT33"/>
    <mergeCell ref="ITU33:ITV33"/>
    <mergeCell ref="ITW33:ITX33"/>
    <mergeCell ref="ITE33:ITF33"/>
    <mergeCell ref="ITG33:ITH33"/>
    <mergeCell ref="ITI33:ITJ33"/>
    <mergeCell ref="ITK33:ITL33"/>
    <mergeCell ref="ITM33:ITN33"/>
    <mergeCell ref="ISU33:ISV33"/>
    <mergeCell ref="ISW33:ISX33"/>
    <mergeCell ref="ISY33:ISZ33"/>
    <mergeCell ref="ITA33:ITB33"/>
    <mergeCell ref="ITC33:ITD33"/>
    <mergeCell ref="ISK33:ISL33"/>
    <mergeCell ref="ISM33:ISN33"/>
    <mergeCell ref="ISO33:ISP33"/>
    <mergeCell ref="ISQ33:ISR33"/>
    <mergeCell ref="ISS33:IST33"/>
    <mergeCell ref="IVC33:IVD33"/>
    <mergeCell ref="IVE33:IVF33"/>
    <mergeCell ref="IVG33:IVH33"/>
    <mergeCell ref="IVI33:IVJ33"/>
    <mergeCell ref="IVK33:IVL33"/>
    <mergeCell ref="IUS33:IUT33"/>
    <mergeCell ref="IUU33:IUV33"/>
    <mergeCell ref="IUW33:IUX33"/>
    <mergeCell ref="IUY33:IUZ33"/>
    <mergeCell ref="IVA33:IVB33"/>
    <mergeCell ref="IUI33:IUJ33"/>
    <mergeCell ref="IUK33:IUL33"/>
    <mergeCell ref="IUM33:IUN33"/>
    <mergeCell ref="IUO33:IUP33"/>
    <mergeCell ref="IUQ33:IUR33"/>
    <mergeCell ref="ITY33:ITZ33"/>
    <mergeCell ref="IUA33:IUB33"/>
    <mergeCell ref="IUC33:IUD33"/>
    <mergeCell ref="IUE33:IUF33"/>
    <mergeCell ref="IUG33:IUH33"/>
    <mergeCell ref="IWQ33:IWR33"/>
    <mergeCell ref="IWS33:IWT33"/>
    <mergeCell ref="IWU33:IWV33"/>
    <mergeCell ref="IWW33:IWX33"/>
    <mergeCell ref="IWY33:IWZ33"/>
    <mergeCell ref="IWG33:IWH33"/>
    <mergeCell ref="IWI33:IWJ33"/>
    <mergeCell ref="IWK33:IWL33"/>
    <mergeCell ref="IWM33:IWN33"/>
    <mergeCell ref="IWO33:IWP33"/>
    <mergeCell ref="IVW33:IVX33"/>
    <mergeCell ref="IVY33:IVZ33"/>
    <mergeCell ref="IWA33:IWB33"/>
    <mergeCell ref="IWC33:IWD33"/>
    <mergeCell ref="IWE33:IWF33"/>
    <mergeCell ref="IVM33:IVN33"/>
    <mergeCell ref="IVO33:IVP33"/>
    <mergeCell ref="IVQ33:IVR33"/>
    <mergeCell ref="IVS33:IVT33"/>
    <mergeCell ref="IVU33:IVV33"/>
    <mergeCell ref="IYE33:IYF33"/>
    <mergeCell ref="IYG33:IYH33"/>
    <mergeCell ref="IYI33:IYJ33"/>
    <mergeCell ref="IYK33:IYL33"/>
    <mergeCell ref="IYM33:IYN33"/>
    <mergeCell ref="IXU33:IXV33"/>
    <mergeCell ref="IXW33:IXX33"/>
    <mergeCell ref="IXY33:IXZ33"/>
    <mergeCell ref="IYA33:IYB33"/>
    <mergeCell ref="IYC33:IYD33"/>
    <mergeCell ref="IXK33:IXL33"/>
    <mergeCell ref="IXM33:IXN33"/>
    <mergeCell ref="IXO33:IXP33"/>
    <mergeCell ref="IXQ33:IXR33"/>
    <mergeCell ref="IXS33:IXT33"/>
    <mergeCell ref="IXA33:IXB33"/>
    <mergeCell ref="IXC33:IXD33"/>
    <mergeCell ref="IXE33:IXF33"/>
    <mergeCell ref="IXG33:IXH33"/>
    <mergeCell ref="IXI33:IXJ33"/>
    <mergeCell ref="IZS33:IZT33"/>
    <mergeCell ref="IZU33:IZV33"/>
    <mergeCell ref="IZW33:IZX33"/>
    <mergeCell ref="IZY33:IZZ33"/>
    <mergeCell ref="JAA33:JAB33"/>
    <mergeCell ref="IZI33:IZJ33"/>
    <mergeCell ref="IZK33:IZL33"/>
    <mergeCell ref="IZM33:IZN33"/>
    <mergeCell ref="IZO33:IZP33"/>
    <mergeCell ref="IZQ33:IZR33"/>
    <mergeCell ref="IYY33:IYZ33"/>
    <mergeCell ref="IZA33:IZB33"/>
    <mergeCell ref="IZC33:IZD33"/>
    <mergeCell ref="IZE33:IZF33"/>
    <mergeCell ref="IZG33:IZH33"/>
    <mergeCell ref="IYO33:IYP33"/>
    <mergeCell ref="IYQ33:IYR33"/>
    <mergeCell ref="IYS33:IYT33"/>
    <mergeCell ref="IYU33:IYV33"/>
    <mergeCell ref="IYW33:IYX33"/>
    <mergeCell ref="JBG33:JBH33"/>
    <mergeCell ref="JBI33:JBJ33"/>
    <mergeCell ref="JBK33:JBL33"/>
    <mergeCell ref="JBM33:JBN33"/>
    <mergeCell ref="JBO33:JBP33"/>
    <mergeCell ref="JAW33:JAX33"/>
    <mergeCell ref="JAY33:JAZ33"/>
    <mergeCell ref="JBA33:JBB33"/>
    <mergeCell ref="JBC33:JBD33"/>
    <mergeCell ref="JBE33:JBF33"/>
    <mergeCell ref="JAM33:JAN33"/>
    <mergeCell ref="JAO33:JAP33"/>
    <mergeCell ref="JAQ33:JAR33"/>
    <mergeCell ref="JAS33:JAT33"/>
    <mergeCell ref="JAU33:JAV33"/>
    <mergeCell ref="JAC33:JAD33"/>
    <mergeCell ref="JAE33:JAF33"/>
    <mergeCell ref="JAG33:JAH33"/>
    <mergeCell ref="JAI33:JAJ33"/>
    <mergeCell ref="JAK33:JAL33"/>
    <mergeCell ref="JCU33:JCV33"/>
    <mergeCell ref="JCW33:JCX33"/>
    <mergeCell ref="JCY33:JCZ33"/>
    <mergeCell ref="JDA33:JDB33"/>
    <mergeCell ref="JDC33:JDD33"/>
    <mergeCell ref="JCK33:JCL33"/>
    <mergeCell ref="JCM33:JCN33"/>
    <mergeCell ref="JCO33:JCP33"/>
    <mergeCell ref="JCQ33:JCR33"/>
    <mergeCell ref="JCS33:JCT33"/>
    <mergeCell ref="JCA33:JCB33"/>
    <mergeCell ref="JCC33:JCD33"/>
    <mergeCell ref="JCE33:JCF33"/>
    <mergeCell ref="JCG33:JCH33"/>
    <mergeCell ref="JCI33:JCJ33"/>
    <mergeCell ref="JBQ33:JBR33"/>
    <mergeCell ref="JBS33:JBT33"/>
    <mergeCell ref="JBU33:JBV33"/>
    <mergeCell ref="JBW33:JBX33"/>
    <mergeCell ref="JBY33:JBZ33"/>
    <mergeCell ref="JEI33:JEJ33"/>
    <mergeCell ref="JEK33:JEL33"/>
    <mergeCell ref="JEM33:JEN33"/>
    <mergeCell ref="JEO33:JEP33"/>
    <mergeCell ref="JEQ33:JER33"/>
    <mergeCell ref="JDY33:JDZ33"/>
    <mergeCell ref="JEA33:JEB33"/>
    <mergeCell ref="JEC33:JED33"/>
    <mergeCell ref="JEE33:JEF33"/>
    <mergeCell ref="JEG33:JEH33"/>
    <mergeCell ref="JDO33:JDP33"/>
    <mergeCell ref="JDQ33:JDR33"/>
    <mergeCell ref="JDS33:JDT33"/>
    <mergeCell ref="JDU33:JDV33"/>
    <mergeCell ref="JDW33:JDX33"/>
    <mergeCell ref="JDE33:JDF33"/>
    <mergeCell ref="JDG33:JDH33"/>
    <mergeCell ref="JDI33:JDJ33"/>
    <mergeCell ref="JDK33:JDL33"/>
    <mergeCell ref="JDM33:JDN33"/>
    <mergeCell ref="JFW33:JFX33"/>
    <mergeCell ref="JFY33:JFZ33"/>
    <mergeCell ref="JGA33:JGB33"/>
    <mergeCell ref="JGC33:JGD33"/>
    <mergeCell ref="JGE33:JGF33"/>
    <mergeCell ref="JFM33:JFN33"/>
    <mergeCell ref="JFO33:JFP33"/>
    <mergeCell ref="JFQ33:JFR33"/>
    <mergeCell ref="JFS33:JFT33"/>
    <mergeCell ref="JFU33:JFV33"/>
    <mergeCell ref="JFC33:JFD33"/>
    <mergeCell ref="JFE33:JFF33"/>
    <mergeCell ref="JFG33:JFH33"/>
    <mergeCell ref="JFI33:JFJ33"/>
    <mergeCell ref="JFK33:JFL33"/>
    <mergeCell ref="JES33:JET33"/>
    <mergeCell ref="JEU33:JEV33"/>
    <mergeCell ref="JEW33:JEX33"/>
    <mergeCell ref="JEY33:JEZ33"/>
    <mergeCell ref="JFA33:JFB33"/>
    <mergeCell ref="JHK33:JHL33"/>
    <mergeCell ref="JHM33:JHN33"/>
    <mergeCell ref="JHO33:JHP33"/>
    <mergeCell ref="JHQ33:JHR33"/>
    <mergeCell ref="JHS33:JHT33"/>
    <mergeCell ref="JHA33:JHB33"/>
    <mergeCell ref="JHC33:JHD33"/>
    <mergeCell ref="JHE33:JHF33"/>
    <mergeCell ref="JHG33:JHH33"/>
    <mergeCell ref="JHI33:JHJ33"/>
    <mergeCell ref="JGQ33:JGR33"/>
    <mergeCell ref="JGS33:JGT33"/>
    <mergeCell ref="JGU33:JGV33"/>
    <mergeCell ref="JGW33:JGX33"/>
    <mergeCell ref="JGY33:JGZ33"/>
    <mergeCell ref="JGG33:JGH33"/>
    <mergeCell ref="JGI33:JGJ33"/>
    <mergeCell ref="JGK33:JGL33"/>
    <mergeCell ref="JGM33:JGN33"/>
    <mergeCell ref="JGO33:JGP33"/>
    <mergeCell ref="JIY33:JIZ33"/>
    <mergeCell ref="JJA33:JJB33"/>
    <mergeCell ref="JJC33:JJD33"/>
    <mergeCell ref="JJE33:JJF33"/>
    <mergeCell ref="JJG33:JJH33"/>
    <mergeCell ref="JIO33:JIP33"/>
    <mergeCell ref="JIQ33:JIR33"/>
    <mergeCell ref="JIS33:JIT33"/>
    <mergeCell ref="JIU33:JIV33"/>
    <mergeCell ref="JIW33:JIX33"/>
    <mergeCell ref="JIE33:JIF33"/>
    <mergeCell ref="JIG33:JIH33"/>
    <mergeCell ref="JII33:JIJ33"/>
    <mergeCell ref="JIK33:JIL33"/>
    <mergeCell ref="JIM33:JIN33"/>
    <mergeCell ref="JHU33:JHV33"/>
    <mergeCell ref="JHW33:JHX33"/>
    <mergeCell ref="JHY33:JHZ33"/>
    <mergeCell ref="JIA33:JIB33"/>
    <mergeCell ref="JIC33:JID33"/>
    <mergeCell ref="JKM33:JKN33"/>
    <mergeCell ref="JKO33:JKP33"/>
    <mergeCell ref="JKQ33:JKR33"/>
    <mergeCell ref="JKS33:JKT33"/>
    <mergeCell ref="JKU33:JKV33"/>
    <mergeCell ref="JKC33:JKD33"/>
    <mergeCell ref="JKE33:JKF33"/>
    <mergeCell ref="JKG33:JKH33"/>
    <mergeCell ref="JKI33:JKJ33"/>
    <mergeCell ref="JKK33:JKL33"/>
    <mergeCell ref="JJS33:JJT33"/>
    <mergeCell ref="JJU33:JJV33"/>
    <mergeCell ref="JJW33:JJX33"/>
    <mergeCell ref="JJY33:JJZ33"/>
    <mergeCell ref="JKA33:JKB33"/>
    <mergeCell ref="JJI33:JJJ33"/>
    <mergeCell ref="JJK33:JJL33"/>
    <mergeCell ref="JJM33:JJN33"/>
    <mergeCell ref="JJO33:JJP33"/>
    <mergeCell ref="JJQ33:JJR33"/>
    <mergeCell ref="JMA33:JMB33"/>
    <mergeCell ref="JMC33:JMD33"/>
    <mergeCell ref="JME33:JMF33"/>
    <mergeCell ref="JMG33:JMH33"/>
    <mergeCell ref="JMI33:JMJ33"/>
    <mergeCell ref="JLQ33:JLR33"/>
    <mergeCell ref="JLS33:JLT33"/>
    <mergeCell ref="JLU33:JLV33"/>
    <mergeCell ref="JLW33:JLX33"/>
    <mergeCell ref="JLY33:JLZ33"/>
    <mergeCell ref="JLG33:JLH33"/>
    <mergeCell ref="JLI33:JLJ33"/>
    <mergeCell ref="JLK33:JLL33"/>
    <mergeCell ref="JLM33:JLN33"/>
    <mergeCell ref="JLO33:JLP33"/>
    <mergeCell ref="JKW33:JKX33"/>
    <mergeCell ref="JKY33:JKZ33"/>
    <mergeCell ref="JLA33:JLB33"/>
    <mergeCell ref="JLC33:JLD33"/>
    <mergeCell ref="JLE33:JLF33"/>
    <mergeCell ref="JNO33:JNP33"/>
    <mergeCell ref="JNQ33:JNR33"/>
    <mergeCell ref="JNS33:JNT33"/>
    <mergeCell ref="JNU33:JNV33"/>
    <mergeCell ref="JNW33:JNX33"/>
    <mergeCell ref="JNE33:JNF33"/>
    <mergeCell ref="JNG33:JNH33"/>
    <mergeCell ref="JNI33:JNJ33"/>
    <mergeCell ref="JNK33:JNL33"/>
    <mergeCell ref="JNM33:JNN33"/>
    <mergeCell ref="JMU33:JMV33"/>
    <mergeCell ref="JMW33:JMX33"/>
    <mergeCell ref="JMY33:JMZ33"/>
    <mergeCell ref="JNA33:JNB33"/>
    <mergeCell ref="JNC33:JND33"/>
    <mergeCell ref="JMK33:JML33"/>
    <mergeCell ref="JMM33:JMN33"/>
    <mergeCell ref="JMO33:JMP33"/>
    <mergeCell ref="JMQ33:JMR33"/>
    <mergeCell ref="JMS33:JMT33"/>
    <mergeCell ref="JPC33:JPD33"/>
    <mergeCell ref="JPE33:JPF33"/>
    <mergeCell ref="JPG33:JPH33"/>
    <mergeCell ref="JPI33:JPJ33"/>
    <mergeCell ref="JPK33:JPL33"/>
    <mergeCell ref="JOS33:JOT33"/>
    <mergeCell ref="JOU33:JOV33"/>
    <mergeCell ref="JOW33:JOX33"/>
    <mergeCell ref="JOY33:JOZ33"/>
    <mergeCell ref="JPA33:JPB33"/>
    <mergeCell ref="JOI33:JOJ33"/>
    <mergeCell ref="JOK33:JOL33"/>
    <mergeCell ref="JOM33:JON33"/>
    <mergeCell ref="JOO33:JOP33"/>
    <mergeCell ref="JOQ33:JOR33"/>
    <mergeCell ref="JNY33:JNZ33"/>
    <mergeCell ref="JOA33:JOB33"/>
    <mergeCell ref="JOC33:JOD33"/>
    <mergeCell ref="JOE33:JOF33"/>
    <mergeCell ref="JOG33:JOH33"/>
    <mergeCell ref="JQQ33:JQR33"/>
    <mergeCell ref="JQS33:JQT33"/>
    <mergeCell ref="JQU33:JQV33"/>
    <mergeCell ref="JQW33:JQX33"/>
    <mergeCell ref="JQY33:JQZ33"/>
    <mergeCell ref="JQG33:JQH33"/>
    <mergeCell ref="JQI33:JQJ33"/>
    <mergeCell ref="JQK33:JQL33"/>
    <mergeCell ref="JQM33:JQN33"/>
    <mergeCell ref="JQO33:JQP33"/>
    <mergeCell ref="JPW33:JPX33"/>
    <mergeCell ref="JPY33:JPZ33"/>
    <mergeCell ref="JQA33:JQB33"/>
    <mergeCell ref="JQC33:JQD33"/>
    <mergeCell ref="JQE33:JQF33"/>
    <mergeCell ref="JPM33:JPN33"/>
    <mergeCell ref="JPO33:JPP33"/>
    <mergeCell ref="JPQ33:JPR33"/>
    <mergeCell ref="JPS33:JPT33"/>
    <mergeCell ref="JPU33:JPV33"/>
    <mergeCell ref="JSE33:JSF33"/>
    <mergeCell ref="JSG33:JSH33"/>
    <mergeCell ref="JSI33:JSJ33"/>
    <mergeCell ref="JSK33:JSL33"/>
    <mergeCell ref="JSM33:JSN33"/>
    <mergeCell ref="JRU33:JRV33"/>
    <mergeCell ref="JRW33:JRX33"/>
    <mergeCell ref="JRY33:JRZ33"/>
    <mergeCell ref="JSA33:JSB33"/>
    <mergeCell ref="JSC33:JSD33"/>
    <mergeCell ref="JRK33:JRL33"/>
    <mergeCell ref="JRM33:JRN33"/>
    <mergeCell ref="JRO33:JRP33"/>
    <mergeCell ref="JRQ33:JRR33"/>
    <mergeCell ref="JRS33:JRT33"/>
    <mergeCell ref="JRA33:JRB33"/>
    <mergeCell ref="JRC33:JRD33"/>
    <mergeCell ref="JRE33:JRF33"/>
    <mergeCell ref="JRG33:JRH33"/>
    <mergeCell ref="JRI33:JRJ33"/>
    <mergeCell ref="JTS33:JTT33"/>
    <mergeCell ref="JTU33:JTV33"/>
    <mergeCell ref="JTW33:JTX33"/>
    <mergeCell ref="JTY33:JTZ33"/>
    <mergeCell ref="JUA33:JUB33"/>
    <mergeCell ref="JTI33:JTJ33"/>
    <mergeCell ref="JTK33:JTL33"/>
    <mergeCell ref="JTM33:JTN33"/>
    <mergeCell ref="JTO33:JTP33"/>
    <mergeCell ref="JTQ33:JTR33"/>
    <mergeCell ref="JSY33:JSZ33"/>
    <mergeCell ref="JTA33:JTB33"/>
    <mergeCell ref="JTC33:JTD33"/>
    <mergeCell ref="JTE33:JTF33"/>
    <mergeCell ref="JTG33:JTH33"/>
    <mergeCell ref="JSO33:JSP33"/>
    <mergeCell ref="JSQ33:JSR33"/>
    <mergeCell ref="JSS33:JST33"/>
    <mergeCell ref="JSU33:JSV33"/>
    <mergeCell ref="JSW33:JSX33"/>
    <mergeCell ref="JVG33:JVH33"/>
    <mergeCell ref="JVI33:JVJ33"/>
    <mergeCell ref="JVK33:JVL33"/>
    <mergeCell ref="JVM33:JVN33"/>
    <mergeCell ref="JVO33:JVP33"/>
    <mergeCell ref="JUW33:JUX33"/>
    <mergeCell ref="JUY33:JUZ33"/>
    <mergeCell ref="JVA33:JVB33"/>
    <mergeCell ref="JVC33:JVD33"/>
    <mergeCell ref="JVE33:JVF33"/>
    <mergeCell ref="JUM33:JUN33"/>
    <mergeCell ref="JUO33:JUP33"/>
    <mergeCell ref="JUQ33:JUR33"/>
    <mergeCell ref="JUS33:JUT33"/>
    <mergeCell ref="JUU33:JUV33"/>
    <mergeCell ref="JUC33:JUD33"/>
    <mergeCell ref="JUE33:JUF33"/>
    <mergeCell ref="JUG33:JUH33"/>
    <mergeCell ref="JUI33:JUJ33"/>
    <mergeCell ref="JUK33:JUL33"/>
    <mergeCell ref="JWU33:JWV33"/>
    <mergeCell ref="JWW33:JWX33"/>
    <mergeCell ref="JWY33:JWZ33"/>
    <mergeCell ref="JXA33:JXB33"/>
    <mergeCell ref="JXC33:JXD33"/>
    <mergeCell ref="JWK33:JWL33"/>
    <mergeCell ref="JWM33:JWN33"/>
    <mergeCell ref="JWO33:JWP33"/>
    <mergeCell ref="JWQ33:JWR33"/>
    <mergeCell ref="JWS33:JWT33"/>
    <mergeCell ref="JWA33:JWB33"/>
    <mergeCell ref="JWC33:JWD33"/>
    <mergeCell ref="JWE33:JWF33"/>
    <mergeCell ref="JWG33:JWH33"/>
    <mergeCell ref="JWI33:JWJ33"/>
    <mergeCell ref="JVQ33:JVR33"/>
    <mergeCell ref="JVS33:JVT33"/>
    <mergeCell ref="JVU33:JVV33"/>
    <mergeCell ref="JVW33:JVX33"/>
    <mergeCell ref="JVY33:JVZ33"/>
    <mergeCell ref="JYI33:JYJ33"/>
    <mergeCell ref="JYK33:JYL33"/>
    <mergeCell ref="JYM33:JYN33"/>
    <mergeCell ref="JYO33:JYP33"/>
    <mergeCell ref="JYQ33:JYR33"/>
    <mergeCell ref="JXY33:JXZ33"/>
    <mergeCell ref="JYA33:JYB33"/>
    <mergeCell ref="JYC33:JYD33"/>
    <mergeCell ref="JYE33:JYF33"/>
    <mergeCell ref="JYG33:JYH33"/>
    <mergeCell ref="JXO33:JXP33"/>
    <mergeCell ref="JXQ33:JXR33"/>
    <mergeCell ref="JXS33:JXT33"/>
    <mergeCell ref="JXU33:JXV33"/>
    <mergeCell ref="JXW33:JXX33"/>
    <mergeCell ref="JXE33:JXF33"/>
    <mergeCell ref="JXG33:JXH33"/>
    <mergeCell ref="JXI33:JXJ33"/>
    <mergeCell ref="JXK33:JXL33"/>
    <mergeCell ref="JXM33:JXN33"/>
    <mergeCell ref="JZW33:JZX33"/>
    <mergeCell ref="JZY33:JZZ33"/>
    <mergeCell ref="KAA33:KAB33"/>
    <mergeCell ref="KAC33:KAD33"/>
    <mergeCell ref="KAE33:KAF33"/>
    <mergeCell ref="JZM33:JZN33"/>
    <mergeCell ref="JZO33:JZP33"/>
    <mergeCell ref="JZQ33:JZR33"/>
    <mergeCell ref="JZS33:JZT33"/>
    <mergeCell ref="JZU33:JZV33"/>
    <mergeCell ref="JZC33:JZD33"/>
    <mergeCell ref="JZE33:JZF33"/>
    <mergeCell ref="JZG33:JZH33"/>
    <mergeCell ref="JZI33:JZJ33"/>
    <mergeCell ref="JZK33:JZL33"/>
    <mergeCell ref="JYS33:JYT33"/>
    <mergeCell ref="JYU33:JYV33"/>
    <mergeCell ref="JYW33:JYX33"/>
    <mergeCell ref="JYY33:JYZ33"/>
    <mergeCell ref="JZA33:JZB33"/>
    <mergeCell ref="KBK33:KBL33"/>
    <mergeCell ref="KBM33:KBN33"/>
    <mergeCell ref="KBO33:KBP33"/>
    <mergeCell ref="KBQ33:KBR33"/>
    <mergeCell ref="KBS33:KBT33"/>
    <mergeCell ref="KBA33:KBB33"/>
    <mergeCell ref="KBC33:KBD33"/>
    <mergeCell ref="KBE33:KBF33"/>
    <mergeCell ref="KBG33:KBH33"/>
    <mergeCell ref="KBI33:KBJ33"/>
    <mergeCell ref="KAQ33:KAR33"/>
    <mergeCell ref="KAS33:KAT33"/>
    <mergeCell ref="KAU33:KAV33"/>
    <mergeCell ref="KAW33:KAX33"/>
    <mergeCell ref="KAY33:KAZ33"/>
    <mergeCell ref="KAG33:KAH33"/>
    <mergeCell ref="KAI33:KAJ33"/>
    <mergeCell ref="KAK33:KAL33"/>
    <mergeCell ref="KAM33:KAN33"/>
    <mergeCell ref="KAO33:KAP33"/>
    <mergeCell ref="KCY33:KCZ33"/>
    <mergeCell ref="KDA33:KDB33"/>
    <mergeCell ref="KDC33:KDD33"/>
    <mergeCell ref="KDE33:KDF33"/>
    <mergeCell ref="KDG33:KDH33"/>
    <mergeCell ref="KCO33:KCP33"/>
    <mergeCell ref="KCQ33:KCR33"/>
    <mergeCell ref="KCS33:KCT33"/>
    <mergeCell ref="KCU33:KCV33"/>
    <mergeCell ref="KCW33:KCX33"/>
    <mergeCell ref="KCE33:KCF33"/>
    <mergeCell ref="KCG33:KCH33"/>
    <mergeCell ref="KCI33:KCJ33"/>
    <mergeCell ref="KCK33:KCL33"/>
    <mergeCell ref="KCM33:KCN33"/>
    <mergeCell ref="KBU33:KBV33"/>
    <mergeCell ref="KBW33:KBX33"/>
    <mergeCell ref="KBY33:KBZ33"/>
    <mergeCell ref="KCA33:KCB33"/>
    <mergeCell ref="KCC33:KCD33"/>
    <mergeCell ref="KEM33:KEN33"/>
    <mergeCell ref="KEO33:KEP33"/>
    <mergeCell ref="KEQ33:KER33"/>
    <mergeCell ref="KES33:KET33"/>
    <mergeCell ref="KEU33:KEV33"/>
    <mergeCell ref="KEC33:KED33"/>
    <mergeCell ref="KEE33:KEF33"/>
    <mergeCell ref="KEG33:KEH33"/>
    <mergeCell ref="KEI33:KEJ33"/>
    <mergeCell ref="KEK33:KEL33"/>
    <mergeCell ref="KDS33:KDT33"/>
    <mergeCell ref="KDU33:KDV33"/>
    <mergeCell ref="KDW33:KDX33"/>
    <mergeCell ref="KDY33:KDZ33"/>
    <mergeCell ref="KEA33:KEB33"/>
    <mergeCell ref="KDI33:KDJ33"/>
    <mergeCell ref="KDK33:KDL33"/>
    <mergeCell ref="KDM33:KDN33"/>
    <mergeCell ref="KDO33:KDP33"/>
    <mergeCell ref="KDQ33:KDR33"/>
    <mergeCell ref="KGA33:KGB33"/>
    <mergeCell ref="KGC33:KGD33"/>
    <mergeCell ref="KGE33:KGF33"/>
    <mergeCell ref="KGG33:KGH33"/>
    <mergeCell ref="KGI33:KGJ33"/>
    <mergeCell ref="KFQ33:KFR33"/>
    <mergeCell ref="KFS33:KFT33"/>
    <mergeCell ref="KFU33:KFV33"/>
    <mergeCell ref="KFW33:KFX33"/>
    <mergeCell ref="KFY33:KFZ33"/>
    <mergeCell ref="KFG33:KFH33"/>
    <mergeCell ref="KFI33:KFJ33"/>
    <mergeCell ref="KFK33:KFL33"/>
    <mergeCell ref="KFM33:KFN33"/>
    <mergeCell ref="KFO33:KFP33"/>
    <mergeCell ref="KEW33:KEX33"/>
    <mergeCell ref="KEY33:KEZ33"/>
    <mergeCell ref="KFA33:KFB33"/>
    <mergeCell ref="KFC33:KFD33"/>
    <mergeCell ref="KFE33:KFF33"/>
    <mergeCell ref="KHO33:KHP33"/>
    <mergeCell ref="KHQ33:KHR33"/>
    <mergeCell ref="KHS33:KHT33"/>
    <mergeCell ref="KHU33:KHV33"/>
    <mergeCell ref="KHW33:KHX33"/>
    <mergeCell ref="KHE33:KHF33"/>
    <mergeCell ref="KHG33:KHH33"/>
    <mergeCell ref="KHI33:KHJ33"/>
    <mergeCell ref="KHK33:KHL33"/>
    <mergeCell ref="KHM33:KHN33"/>
    <mergeCell ref="KGU33:KGV33"/>
    <mergeCell ref="KGW33:KGX33"/>
    <mergeCell ref="KGY33:KGZ33"/>
    <mergeCell ref="KHA33:KHB33"/>
    <mergeCell ref="KHC33:KHD33"/>
    <mergeCell ref="KGK33:KGL33"/>
    <mergeCell ref="KGM33:KGN33"/>
    <mergeCell ref="KGO33:KGP33"/>
    <mergeCell ref="KGQ33:KGR33"/>
    <mergeCell ref="KGS33:KGT33"/>
    <mergeCell ref="KJC33:KJD33"/>
    <mergeCell ref="KJE33:KJF33"/>
    <mergeCell ref="KJG33:KJH33"/>
    <mergeCell ref="KJI33:KJJ33"/>
    <mergeCell ref="KJK33:KJL33"/>
    <mergeCell ref="KIS33:KIT33"/>
    <mergeCell ref="KIU33:KIV33"/>
    <mergeCell ref="KIW33:KIX33"/>
    <mergeCell ref="KIY33:KIZ33"/>
    <mergeCell ref="KJA33:KJB33"/>
    <mergeCell ref="KII33:KIJ33"/>
    <mergeCell ref="KIK33:KIL33"/>
    <mergeCell ref="KIM33:KIN33"/>
    <mergeCell ref="KIO33:KIP33"/>
    <mergeCell ref="KIQ33:KIR33"/>
    <mergeCell ref="KHY33:KHZ33"/>
    <mergeCell ref="KIA33:KIB33"/>
    <mergeCell ref="KIC33:KID33"/>
    <mergeCell ref="KIE33:KIF33"/>
    <mergeCell ref="KIG33:KIH33"/>
    <mergeCell ref="KKQ33:KKR33"/>
    <mergeCell ref="KKS33:KKT33"/>
    <mergeCell ref="KKU33:KKV33"/>
    <mergeCell ref="KKW33:KKX33"/>
    <mergeCell ref="KKY33:KKZ33"/>
    <mergeCell ref="KKG33:KKH33"/>
    <mergeCell ref="KKI33:KKJ33"/>
    <mergeCell ref="KKK33:KKL33"/>
    <mergeCell ref="KKM33:KKN33"/>
    <mergeCell ref="KKO33:KKP33"/>
    <mergeCell ref="KJW33:KJX33"/>
    <mergeCell ref="KJY33:KJZ33"/>
    <mergeCell ref="KKA33:KKB33"/>
    <mergeCell ref="KKC33:KKD33"/>
    <mergeCell ref="KKE33:KKF33"/>
    <mergeCell ref="KJM33:KJN33"/>
    <mergeCell ref="KJO33:KJP33"/>
    <mergeCell ref="KJQ33:KJR33"/>
    <mergeCell ref="KJS33:KJT33"/>
    <mergeCell ref="KJU33:KJV33"/>
    <mergeCell ref="KME33:KMF33"/>
    <mergeCell ref="KMG33:KMH33"/>
    <mergeCell ref="KMI33:KMJ33"/>
    <mergeCell ref="KMK33:KML33"/>
    <mergeCell ref="KMM33:KMN33"/>
    <mergeCell ref="KLU33:KLV33"/>
    <mergeCell ref="KLW33:KLX33"/>
    <mergeCell ref="KLY33:KLZ33"/>
    <mergeCell ref="KMA33:KMB33"/>
    <mergeCell ref="KMC33:KMD33"/>
    <mergeCell ref="KLK33:KLL33"/>
    <mergeCell ref="KLM33:KLN33"/>
    <mergeCell ref="KLO33:KLP33"/>
    <mergeCell ref="KLQ33:KLR33"/>
    <mergeCell ref="KLS33:KLT33"/>
    <mergeCell ref="KLA33:KLB33"/>
    <mergeCell ref="KLC33:KLD33"/>
    <mergeCell ref="KLE33:KLF33"/>
    <mergeCell ref="KLG33:KLH33"/>
    <mergeCell ref="KLI33:KLJ33"/>
    <mergeCell ref="KNS33:KNT33"/>
    <mergeCell ref="KNU33:KNV33"/>
    <mergeCell ref="KNW33:KNX33"/>
    <mergeCell ref="KNY33:KNZ33"/>
    <mergeCell ref="KOA33:KOB33"/>
    <mergeCell ref="KNI33:KNJ33"/>
    <mergeCell ref="KNK33:KNL33"/>
    <mergeCell ref="KNM33:KNN33"/>
    <mergeCell ref="KNO33:KNP33"/>
    <mergeCell ref="KNQ33:KNR33"/>
    <mergeCell ref="KMY33:KMZ33"/>
    <mergeCell ref="KNA33:KNB33"/>
    <mergeCell ref="KNC33:KND33"/>
    <mergeCell ref="KNE33:KNF33"/>
    <mergeCell ref="KNG33:KNH33"/>
    <mergeCell ref="KMO33:KMP33"/>
    <mergeCell ref="KMQ33:KMR33"/>
    <mergeCell ref="KMS33:KMT33"/>
    <mergeCell ref="KMU33:KMV33"/>
    <mergeCell ref="KMW33:KMX33"/>
    <mergeCell ref="KPG33:KPH33"/>
    <mergeCell ref="KPI33:KPJ33"/>
    <mergeCell ref="KPK33:KPL33"/>
    <mergeCell ref="KPM33:KPN33"/>
    <mergeCell ref="KPO33:KPP33"/>
    <mergeCell ref="KOW33:KOX33"/>
    <mergeCell ref="KOY33:KOZ33"/>
    <mergeCell ref="KPA33:KPB33"/>
    <mergeCell ref="KPC33:KPD33"/>
    <mergeCell ref="KPE33:KPF33"/>
    <mergeCell ref="KOM33:KON33"/>
    <mergeCell ref="KOO33:KOP33"/>
    <mergeCell ref="KOQ33:KOR33"/>
    <mergeCell ref="KOS33:KOT33"/>
    <mergeCell ref="KOU33:KOV33"/>
    <mergeCell ref="KOC33:KOD33"/>
    <mergeCell ref="KOE33:KOF33"/>
    <mergeCell ref="KOG33:KOH33"/>
    <mergeCell ref="KOI33:KOJ33"/>
    <mergeCell ref="KOK33:KOL33"/>
    <mergeCell ref="KQU33:KQV33"/>
    <mergeCell ref="KQW33:KQX33"/>
    <mergeCell ref="KQY33:KQZ33"/>
    <mergeCell ref="KRA33:KRB33"/>
    <mergeCell ref="KRC33:KRD33"/>
    <mergeCell ref="KQK33:KQL33"/>
    <mergeCell ref="KQM33:KQN33"/>
    <mergeCell ref="KQO33:KQP33"/>
    <mergeCell ref="KQQ33:KQR33"/>
    <mergeCell ref="KQS33:KQT33"/>
    <mergeCell ref="KQA33:KQB33"/>
    <mergeCell ref="KQC33:KQD33"/>
    <mergeCell ref="KQE33:KQF33"/>
    <mergeCell ref="KQG33:KQH33"/>
    <mergeCell ref="KQI33:KQJ33"/>
    <mergeCell ref="KPQ33:KPR33"/>
    <mergeCell ref="KPS33:KPT33"/>
    <mergeCell ref="KPU33:KPV33"/>
    <mergeCell ref="KPW33:KPX33"/>
    <mergeCell ref="KPY33:KPZ33"/>
    <mergeCell ref="KSI33:KSJ33"/>
    <mergeCell ref="KSK33:KSL33"/>
    <mergeCell ref="KSM33:KSN33"/>
    <mergeCell ref="KSO33:KSP33"/>
    <mergeCell ref="KSQ33:KSR33"/>
    <mergeCell ref="KRY33:KRZ33"/>
    <mergeCell ref="KSA33:KSB33"/>
    <mergeCell ref="KSC33:KSD33"/>
    <mergeCell ref="KSE33:KSF33"/>
    <mergeCell ref="KSG33:KSH33"/>
    <mergeCell ref="KRO33:KRP33"/>
    <mergeCell ref="KRQ33:KRR33"/>
    <mergeCell ref="KRS33:KRT33"/>
    <mergeCell ref="KRU33:KRV33"/>
    <mergeCell ref="KRW33:KRX33"/>
    <mergeCell ref="KRE33:KRF33"/>
    <mergeCell ref="KRG33:KRH33"/>
    <mergeCell ref="KRI33:KRJ33"/>
    <mergeCell ref="KRK33:KRL33"/>
    <mergeCell ref="KRM33:KRN33"/>
    <mergeCell ref="KTW33:KTX33"/>
    <mergeCell ref="KTY33:KTZ33"/>
    <mergeCell ref="KUA33:KUB33"/>
    <mergeCell ref="KUC33:KUD33"/>
    <mergeCell ref="KUE33:KUF33"/>
    <mergeCell ref="KTM33:KTN33"/>
    <mergeCell ref="KTO33:KTP33"/>
    <mergeCell ref="KTQ33:KTR33"/>
    <mergeCell ref="KTS33:KTT33"/>
    <mergeCell ref="KTU33:KTV33"/>
    <mergeCell ref="KTC33:KTD33"/>
    <mergeCell ref="KTE33:KTF33"/>
    <mergeCell ref="KTG33:KTH33"/>
    <mergeCell ref="KTI33:KTJ33"/>
    <mergeCell ref="KTK33:KTL33"/>
    <mergeCell ref="KSS33:KST33"/>
    <mergeCell ref="KSU33:KSV33"/>
    <mergeCell ref="KSW33:KSX33"/>
    <mergeCell ref="KSY33:KSZ33"/>
    <mergeCell ref="KTA33:KTB33"/>
    <mergeCell ref="KVK33:KVL33"/>
    <mergeCell ref="KVM33:KVN33"/>
    <mergeCell ref="KVO33:KVP33"/>
    <mergeCell ref="KVQ33:KVR33"/>
    <mergeCell ref="KVS33:KVT33"/>
    <mergeCell ref="KVA33:KVB33"/>
    <mergeCell ref="KVC33:KVD33"/>
    <mergeCell ref="KVE33:KVF33"/>
    <mergeCell ref="KVG33:KVH33"/>
    <mergeCell ref="KVI33:KVJ33"/>
    <mergeCell ref="KUQ33:KUR33"/>
    <mergeCell ref="KUS33:KUT33"/>
    <mergeCell ref="KUU33:KUV33"/>
    <mergeCell ref="KUW33:KUX33"/>
    <mergeCell ref="KUY33:KUZ33"/>
    <mergeCell ref="KUG33:KUH33"/>
    <mergeCell ref="KUI33:KUJ33"/>
    <mergeCell ref="KUK33:KUL33"/>
    <mergeCell ref="KUM33:KUN33"/>
    <mergeCell ref="KUO33:KUP33"/>
    <mergeCell ref="KWY33:KWZ33"/>
    <mergeCell ref="KXA33:KXB33"/>
    <mergeCell ref="KXC33:KXD33"/>
    <mergeCell ref="KXE33:KXF33"/>
    <mergeCell ref="KXG33:KXH33"/>
    <mergeCell ref="KWO33:KWP33"/>
    <mergeCell ref="KWQ33:KWR33"/>
    <mergeCell ref="KWS33:KWT33"/>
    <mergeCell ref="KWU33:KWV33"/>
    <mergeCell ref="KWW33:KWX33"/>
    <mergeCell ref="KWE33:KWF33"/>
    <mergeCell ref="KWG33:KWH33"/>
    <mergeCell ref="KWI33:KWJ33"/>
    <mergeCell ref="KWK33:KWL33"/>
    <mergeCell ref="KWM33:KWN33"/>
    <mergeCell ref="KVU33:KVV33"/>
    <mergeCell ref="KVW33:KVX33"/>
    <mergeCell ref="KVY33:KVZ33"/>
    <mergeCell ref="KWA33:KWB33"/>
    <mergeCell ref="KWC33:KWD33"/>
    <mergeCell ref="KYM33:KYN33"/>
    <mergeCell ref="KYO33:KYP33"/>
    <mergeCell ref="KYQ33:KYR33"/>
    <mergeCell ref="KYS33:KYT33"/>
    <mergeCell ref="KYU33:KYV33"/>
    <mergeCell ref="KYC33:KYD33"/>
    <mergeCell ref="KYE33:KYF33"/>
    <mergeCell ref="KYG33:KYH33"/>
    <mergeCell ref="KYI33:KYJ33"/>
    <mergeCell ref="KYK33:KYL33"/>
    <mergeCell ref="KXS33:KXT33"/>
    <mergeCell ref="KXU33:KXV33"/>
    <mergeCell ref="KXW33:KXX33"/>
    <mergeCell ref="KXY33:KXZ33"/>
    <mergeCell ref="KYA33:KYB33"/>
    <mergeCell ref="KXI33:KXJ33"/>
    <mergeCell ref="KXK33:KXL33"/>
    <mergeCell ref="KXM33:KXN33"/>
    <mergeCell ref="KXO33:KXP33"/>
    <mergeCell ref="KXQ33:KXR33"/>
    <mergeCell ref="LAA33:LAB33"/>
    <mergeCell ref="LAC33:LAD33"/>
    <mergeCell ref="LAE33:LAF33"/>
    <mergeCell ref="LAG33:LAH33"/>
    <mergeCell ref="LAI33:LAJ33"/>
    <mergeCell ref="KZQ33:KZR33"/>
    <mergeCell ref="KZS33:KZT33"/>
    <mergeCell ref="KZU33:KZV33"/>
    <mergeCell ref="KZW33:KZX33"/>
    <mergeCell ref="KZY33:KZZ33"/>
    <mergeCell ref="KZG33:KZH33"/>
    <mergeCell ref="KZI33:KZJ33"/>
    <mergeCell ref="KZK33:KZL33"/>
    <mergeCell ref="KZM33:KZN33"/>
    <mergeCell ref="KZO33:KZP33"/>
    <mergeCell ref="KYW33:KYX33"/>
    <mergeCell ref="KYY33:KYZ33"/>
    <mergeCell ref="KZA33:KZB33"/>
    <mergeCell ref="KZC33:KZD33"/>
    <mergeCell ref="KZE33:KZF33"/>
    <mergeCell ref="LBO33:LBP33"/>
    <mergeCell ref="LBQ33:LBR33"/>
    <mergeCell ref="LBS33:LBT33"/>
    <mergeCell ref="LBU33:LBV33"/>
    <mergeCell ref="LBW33:LBX33"/>
    <mergeCell ref="LBE33:LBF33"/>
    <mergeCell ref="LBG33:LBH33"/>
    <mergeCell ref="LBI33:LBJ33"/>
    <mergeCell ref="LBK33:LBL33"/>
    <mergeCell ref="LBM33:LBN33"/>
    <mergeCell ref="LAU33:LAV33"/>
    <mergeCell ref="LAW33:LAX33"/>
    <mergeCell ref="LAY33:LAZ33"/>
    <mergeCell ref="LBA33:LBB33"/>
    <mergeCell ref="LBC33:LBD33"/>
    <mergeCell ref="LAK33:LAL33"/>
    <mergeCell ref="LAM33:LAN33"/>
    <mergeCell ref="LAO33:LAP33"/>
    <mergeCell ref="LAQ33:LAR33"/>
    <mergeCell ref="LAS33:LAT33"/>
    <mergeCell ref="LDC33:LDD33"/>
    <mergeCell ref="LDE33:LDF33"/>
    <mergeCell ref="LDG33:LDH33"/>
    <mergeCell ref="LDI33:LDJ33"/>
    <mergeCell ref="LDK33:LDL33"/>
    <mergeCell ref="LCS33:LCT33"/>
    <mergeCell ref="LCU33:LCV33"/>
    <mergeCell ref="LCW33:LCX33"/>
    <mergeCell ref="LCY33:LCZ33"/>
    <mergeCell ref="LDA33:LDB33"/>
    <mergeCell ref="LCI33:LCJ33"/>
    <mergeCell ref="LCK33:LCL33"/>
    <mergeCell ref="LCM33:LCN33"/>
    <mergeCell ref="LCO33:LCP33"/>
    <mergeCell ref="LCQ33:LCR33"/>
    <mergeCell ref="LBY33:LBZ33"/>
    <mergeCell ref="LCA33:LCB33"/>
    <mergeCell ref="LCC33:LCD33"/>
    <mergeCell ref="LCE33:LCF33"/>
    <mergeCell ref="LCG33:LCH33"/>
    <mergeCell ref="LEQ33:LER33"/>
    <mergeCell ref="LES33:LET33"/>
    <mergeCell ref="LEU33:LEV33"/>
    <mergeCell ref="LEW33:LEX33"/>
    <mergeCell ref="LEY33:LEZ33"/>
    <mergeCell ref="LEG33:LEH33"/>
    <mergeCell ref="LEI33:LEJ33"/>
    <mergeCell ref="LEK33:LEL33"/>
    <mergeCell ref="LEM33:LEN33"/>
    <mergeCell ref="LEO33:LEP33"/>
    <mergeCell ref="LDW33:LDX33"/>
    <mergeCell ref="LDY33:LDZ33"/>
    <mergeCell ref="LEA33:LEB33"/>
    <mergeCell ref="LEC33:LED33"/>
    <mergeCell ref="LEE33:LEF33"/>
    <mergeCell ref="LDM33:LDN33"/>
    <mergeCell ref="LDO33:LDP33"/>
    <mergeCell ref="LDQ33:LDR33"/>
    <mergeCell ref="LDS33:LDT33"/>
    <mergeCell ref="LDU33:LDV33"/>
    <mergeCell ref="LGE33:LGF33"/>
    <mergeCell ref="LGG33:LGH33"/>
    <mergeCell ref="LGI33:LGJ33"/>
    <mergeCell ref="LGK33:LGL33"/>
    <mergeCell ref="LGM33:LGN33"/>
    <mergeCell ref="LFU33:LFV33"/>
    <mergeCell ref="LFW33:LFX33"/>
    <mergeCell ref="LFY33:LFZ33"/>
    <mergeCell ref="LGA33:LGB33"/>
    <mergeCell ref="LGC33:LGD33"/>
    <mergeCell ref="LFK33:LFL33"/>
    <mergeCell ref="LFM33:LFN33"/>
    <mergeCell ref="LFO33:LFP33"/>
    <mergeCell ref="LFQ33:LFR33"/>
    <mergeCell ref="LFS33:LFT33"/>
    <mergeCell ref="LFA33:LFB33"/>
    <mergeCell ref="LFC33:LFD33"/>
    <mergeCell ref="LFE33:LFF33"/>
    <mergeCell ref="LFG33:LFH33"/>
    <mergeCell ref="LFI33:LFJ33"/>
    <mergeCell ref="LHS33:LHT33"/>
    <mergeCell ref="LHU33:LHV33"/>
    <mergeCell ref="LHW33:LHX33"/>
    <mergeCell ref="LHY33:LHZ33"/>
    <mergeCell ref="LIA33:LIB33"/>
    <mergeCell ref="LHI33:LHJ33"/>
    <mergeCell ref="LHK33:LHL33"/>
    <mergeCell ref="LHM33:LHN33"/>
    <mergeCell ref="LHO33:LHP33"/>
    <mergeCell ref="LHQ33:LHR33"/>
    <mergeCell ref="LGY33:LGZ33"/>
    <mergeCell ref="LHA33:LHB33"/>
    <mergeCell ref="LHC33:LHD33"/>
    <mergeCell ref="LHE33:LHF33"/>
    <mergeCell ref="LHG33:LHH33"/>
    <mergeCell ref="LGO33:LGP33"/>
    <mergeCell ref="LGQ33:LGR33"/>
    <mergeCell ref="LGS33:LGT33"/>
    <mergeCell ref="LGU33:LGV33"/>
    <mergeCell ref="LGW33:LGX33"/>
    <mergeCell ref="LJG33:LJH33"/>
    <mergeCell ref="LJI33:LJJ33"/>
    <mergeCell ref="LJK33:LJL33"/>
    <mergeCell ref="LJM33:LJN33"/>
    <mergeCell ref="LJO33:LJP33"/>
    <mergeCell ref="LIW33:LIX33"/>
    <mergeCell ref="LIY33:LIZ33"/>
    <mergeCell ref="LJA33:LJB33"/>
    <mergeCell ref="LJC33:LJD33"/>
    <mergeCell ref="LJE33:LJF33"/>
    <mergeCell ref="LIM33:LIN33"/>
    <mergeCell ref="LIO33:LIP33"/>
    <mergeCell ref="LIQ33:LIR33"/>
    <mergeCell ref="LIS33:LIT33"/>
    <mergeCell ref="LIU33:LIV33"/>
    <mergeCell ref="LIC33:LID33"/>
    <mergeCell ref="LIE33:LIF33"/>
    <mergeCell ref="LIG33:LIH33"/>
    <mergeCell ref="LII33:LIJ33"/>
    <mergeCell ref="LIK33:LIL33"/>
    <mergeCell ref="LKU33:LKV33"/>
    <mergeCell ref="LKW33:LKX33"/>
    <mergeCell ref="LKY33:LKZ33"/>
    <mergeCell ref="LLA33:LLB33"/>
    <mergeCell ref="LLC33:LLD33"/>
    <mergeCell ref="LKK33:LKL33"/>
    <mergeCell ref="LKM33:LKN33"/>
    <mergeCell ref="LKO33:LKP33"/>
    <mergeCell ref="LKQ33:LKR33"/>
    <mergeCell ref="LKS33:LKT33"/>
    <mergeCell ref="LKA33:LKB33"/>
    <mergeCell ref="LKC33:LKD33"/>
    <mergeCell ref="LKE33:LKF33"/>
    <mergeCell ref="LKG33:LKH33"/>
    <mergeCell ref="LKI33:LKJ33"/>
    <mergeCell ref="LJQ33:LJR33"/>
    <mergeCell ref="LJS33:LJT33"/>
    <mergeCell ref="LJU33:LJV33"/>
    <mergeCell ref="LJW33:LJX33"/>
    <mergeCell ref="LJY33:LJZ33"/>
    <mergeCell ref="LMI33:LMJ33"/>
    <mergeCell ref="LMK33:LML33"/>
    <mergeCell ref="LMM33:LMN33"/>
    <mergeCell ref="LMO33:LMP33"/>
    <mergeCell ref="LMQ33:LMR33"/>
    <mergeCell ref="LLY33:LLZ33"/>
    <mergeCell ref="LMA33:LMB33"/>
    <mergeCell ref="LMC33:LMD33"/>
    <mergeCell ref="LME33:LMF33"/>
    <mergeCell ref="LMG33:LMH33"/>
    <mergeCell ref="LLO33:LLP33"/>
    <mergeCell ref="LLQ33:LLR33"/>
    <mergeCell ref="LLS33:LLT33"/>
    <mergeCell ref="LLU33:LLV33"/>
    <mergeCell ref="LLW33:LLX33"/>
    <mergeCell ref="LLE33:LLF33"/>
    <mergeCell ref="LLG33:LLH33"/>
    <mergeCell ref="LLI33:LLJ33"/>
    <mergeCell ref="LLK33:LLL33"/>
    <mergeCell ref="LLM33:LLN33"/>
    <mergeCell ref="LNW33:LNX33"/>
    <mergeCell ref="LNY33:LNZ33"/>
    <mergeCell ref="LOA33:LOB33"/>
    <mergeCell ref="LOC33:LOD33"/>
    <mergeCell ref="LOE33:LOF33"/>
    <mergeCell ref="LNM33:LNN33"/>
    <mergeCell ref="LNO33:LNP33"/>
    <mergeCell ref="LNQ33:LNR33"/>
    <mergeCell ref="LNS33:LNT33"/>
    <mergeCell ref="LNU33:LNV33"/>
    <mergeCell ref="LNC33:LND33"/>
    <mergeCell ref="LNE33:LNF33"/>
    <mergeCell ref="LNG33:LNH33"/>
    <mergeCell ref="LNI33:LNJ33"/>
    <mergeCell ref="LNK33:LNL33"/>
    <mergeCell ref="LMS33:LMT33"/>
    <mergeCell ref="LMU33:LMV33"/>
    <mergeCell ref="LMW33:LMX33"/>
    <mergeCell ref="LMY33:LMZ33"/>
    <mergeCell ref="LNA33:LNB33"/>
    <mergeCell ref="LPK33:LPL33"/>
    <mergeCell ref="LPM33:LPN33"/>
    <mergeCell ref="LPO33:LPP33"/>
    <mergeCell ref="LPQ33:LPR33"/>
    <mergeCell ref="LPS33:LPT33"/>
    <mergeCell ref="LPA33:LPB33"/>
    <mergeCell ref="LPC33:LPD33"/>
    <mergeCell ref="LPE33:LPF33"/>
    <mergeCell ref="LPG33:LPH33"/>
    <mergeCell ref="LPI33:LPJ33"/>
    <mergeCell ref="LOQ33:LOR33"/>
    <mergeCell ref="LOS33:LOT33"/>
    <mergeCell ref="LOU33:LOV33"/>
    <mergeCell ref="LOW33:LOX33"/>
    <mergeCell ref="LOY33:LOZ33"/>
    <mergeCell ref="LOG33:LOH33"/>
    <mergeCell ref="LOI33:LOJ33"/>
    <mergeCell ref="LOK33:LOL33"/>
    <mergeCell ref="LOM33:LON33"/>
    <mergeCell ref="LOO33:LOP33"/>
    <mergeCell ref="LQY33:LQZ33"/>
    <mergeCell ref="LRA33:LRB33"/>
    <mergeCell ref="LRC33:LRD33"/>
    <mergeCell ref="LRE33:LRF33"/>
    <mergeCell ref="LRG33:LRH33"/>
    <mergeCell ref="LQO33:LQP33"/>
    <mergeCell ref="LQQ33:LQR33"/>
    <mergeCell ref="LQS33:LQT33"/>
    <mergeCell ref="LQU33:LQV33"/>
    <mergeCell ref="LQW33:LQX33"/>
    <mergeCell ref="LQE33:LQF33"/>
    <mergeCell ref="LQG33:LQH33"/>
    <mergeCell ref="LQI33:LQJ33"/>
    <mergeCell ref="LQK33:LQL33"/>
    <mergeCell ref="LQM33:LQN33"/>
    <mergeCell ref="LPU33:LPV33"/>
    <mergeCell ref="LPW33:LPX33"/>
    <mergeCell ref="LPY33:LPZ33"/>
    <mergeCell ref="LQA33:LQB33"/>
    <mergeCell ref="LQC33:LQD33"/>
    <mergeCell ref="LSM33:LSN33"/>
    <mergeCell ref="LSO33:LSP33"/>
    <mergeCell ref="LSQ33:LSR33"/>
    <mergeCell ref="LSS33:LST33"/>
    <mergeCell ref="LSU33:LSV33"/>
    <mergeCell ref="LSC33:LSD33"/>
    <mergeCell ref="LSE33:LSF33"/>
    <mergeCell ref="LSG33:LSH33"/>
    <mergeCell ref="LSI33:LSJ33"/>
    <mergeCell ref="LSK33:LSL33"/>
    <mergeCell ref="LRS33:LRT33"/>
    <mergeCell ref="LRU33:LRV33"/>
    <mergeCell ref="LRW33:LRX33"/>
    <mergeCell ref="LRY33:LRZ33"/>
    <mergeCell ref="LSA33:LSB33"/>
    <mergeCell ref="LRI33:LRJ33"/>
    <mergeCell ref="LRK33:LRL33"/>
    <mergeCell ref="LRM33:LRN33"/>
    <mergeCell ref="LRO33:LRP33"/>
    <mergeCell ref="LRQ33:LRR33"/>
    <mergeCell ref="LUA33:LUB33"/>
    <mergeCell ref="LUC33:LUD33"/>
    <mergeCell ref="LUE33:LUF33"/>
    <mergeCell ref="LUG33:LUH33"/>
    <mergeCell ref="LUI33:LUJ33"/>
    <mergeCell ref="LTQ33:LTR33"/>
    <mergeCell ref="LTS33:LTT33"/>
    <mergeCell ref="LTU33:LTV33"/>
    <mergeCell ref="LTW33:LTX33"/>
    <mergeCell ref="LTY33:LTZ33"/>
    <mergeCell ref="LTG33:LTH33"/>
    <mergeCell ref="LTI33:LTJ33"/>
    <mergeCell ref="LTK33:LTL33"/>
    <mergeCell ref="LTM33:LTN33"/>
    <mergeCell ref="LTO33:LTP33"/>
    <mergeCell ref="LSW33:LSX33"/>
    <mergeCell ref="LSY33:LSZ33"/>
    <mergeCell ref="LTA33:LTB33"/>
    <mergeCell ref="LTC33:LTD33"/>
    <mergeCell ref="LTE33:LTF33"/>
    <mergeCell ref="LVO33:LVP33"/>
    <mergeCell ref="LVQ33:LVR33"/>
    <mergeCell ref="LVS33:LVT33"/>
    <mergeCell ref="LVU33:LVV33"/>
    <mergeCell ref="LVW33:LVX33"/>
    <mergeCell ref="LVE33:LVF33"/>
    <mergeCell ref="LVG33:LVH33"/>
    <mergeCell ref="LVI33:LVJ33"/>
    <mergeCell ref="LVK33:LVL33"/>
    <mergeCell ref="LVM33:LVN33"/>
    <mergeCell ref="LUU33:LUV33"/>
    <mergeCell ref="LUW33:LUX33"/>
    <mergeCell ref="LUY33:LUZ33"/>
    <mergeCell ref="LVA33:LVB33"/>
    <mergeCell ref="LVC33:LVD33"/>
    <mergeCell ref="LUK33:LUL33"/>
    <mergeCell ref="LUM33:LUN33"/>
    <mergeCell ref="LUO33:LUP33"/>
    <mergeCell ref="LUQ33:LUR33"/>
    <mergeCell ref="LUS33:LUT33"/>
    <mergeCell ref="LXC33:LXD33"/>
    <mergeCell ref="LXE33:LXF33"/>
    <mergeCell ref="LXG33:LXH33"/>
    <mergeCell ref="LXI33:LXJ33"/>
    <mergeCell ref="LXK33:LXL33"/>
    <mergeCell ref="LWS33:LWT33"/>
    <mergeCell ref="LWU33:LWV33"/>
    <mergeCell ref="LWW33:LWX33"/>
    <mergeCell ref="LWY33:LWZ33"/>
    <mergeCell ref="LXA33:LXB33"/>
    <mergeCell ref="LWI33:LWJ33"/>
    <mergeCell ref="LWK33:LWL33"/>
    <mergeCell ref="LWM33:LWN33"/>
    <mergeCell ref="LWO33:LWP33"/>
    <mergeCell ref="LWQ33:LWR33"/>
    <mergeCell ref="LVY33:LVZ33"/>
    <mergeCell ref="LWA33:LWB33"/>
    <mergeCell ref="LWC33:LWD33"/>
    <mergeCell ref="LWE33:LWF33"/>
    <mergeCell ref="LWG33:LWH33"/>
    <mergeCell ref="LYQ33:LYR33"/>
    <mergeCell ref="LYS33:LYT33"/>
    <mergeCell ref="LYU33:LYV33"/>
    <mergeCell ref="LYW33:LYX33"/>
    <mergeCell ref="LYY33:LYZ33"/>
    <mergeCell ref="LYG33:LYH33"/>
    <mergeCell ref="LYI33:LYJ33"/>
    <mergeCell ref="LYK33:LYL33"/>
    <mergeCell ref="LYM33:LYN33"/>
    <mergeCell ref="LYO33:LYP33"/>
    <mergeCell ref="LXW33:LXX33"/>
    <mergeCell ref="LXY33:LXZ33"/>
    <mergeCell ref="LYA33:LYB33"/>
    <mergeCell ref="LYC33:LYD33"/>
    <mergeCell ref="LYE33:LYF33"/>
    <mergeCell ref="LXM33:LXN33"/>
    <mergeCell ref="LXO33:LXP33"/>
    <mergeCell ref="LXQ33:LXR33"/>
    <mergeCell ref="LXS33:LXT33"/>
    <mergeCell ref="LXU33:LXV33"/>
    <mergeCell ref="MAE33:MAF33"/>
    <mergeCell ref="MAG33:MAH33"/>
    <mergeCell ref="MAI33:MAJ33"/>
    <mergeCell ref="MAK33:MAL33"/>
    <mergeCell ref="MAM33:MAN33"/>
    <mergeCell ref="LZU33:LZV33"/>
    <mergeCell ref="LZW33:LZX33"/>
    <mergeCell ref="LZY33:LZZ33"/>
    <mergeCell ref="MAA33:MAB33"/>
    <mergeCell ref="MAC33:MAD33"/>
    <mergeCell ref="LZK33:LZL33"/>
    <mergeCell ref="LZM33:LZN33"/>
    <mergeCell ref="LZO33:LZP33"/>
    <mergeCell ref="LZQ33:LZR33"/>
    <mergeCell ref="LZS33:LZT33"/>
    <mergeCell ref="LZA33:LZB33"/>
    <mergeCell ref="LZC33:LZD33"/>
    <mergeCell ref="LZE33:LZF33"/>
    <mergeCell ref="LZG33:LZH33"/>
    <mergeCell ref="LZI33:LZJ33"/>
    <mergeCell ref="MBS33:MBT33"/>
    <mergeCell ref="MBU33:MBV33"/>
    <mergeCell ref="MBW33:MBX33"/>
    <mergeCell ref="MBY33:MBZ33"/>
    <mergeCell ref="MCA33:MCB33"/>
    <mergeCell ref="MBI33:MBJ33"/>
    <mergeCell ref="MBK33:MBL33"/>
    <mergeCell ref="MBM33:MBN33"/>
    <mergeCell ref="MBO33:MBP33"/>
    <mergeCell ref="MBQ33:MBR33"/>
    <mergeCell ref="MAY33:MAZ33"/>
    <mergeCell ref="MBA33:MBB33"/>
    <mergeCell ref="MBC33:MBD33"/>
    <mergeCell ref="MBE33:MBF33"/>
    <mergeCell ref="MBG33:MBH33"/>
    <mergeCell ref="MAO33:MAP33"/>
    <mergeCell ref="MAQ33:MAR33"/>
    <mergeCell ref="MAS33:MAT33"/>
    <mergeCell ref="MAU33:MAV33"/>
    <mergeCell ref="MAW33:MAX33"/>
    <mergeCell ref="MDG33:MDH33"/>
    <mergeCell ref="MDI33:MDJ33"/>
    <mergeCell ref="MDK33:MDL33"/>
    <mergeCell ref="MDM33:MDN33"/>
    <mergeCell ref="MDO33:MDP33"/>
    <mergeCell ref="MCW33:MCX33"/>
    <mergeCell ref="MCY33:MCZ33"/>
    <mergeCell ref="MDA33:MDB33"/>
    <mergeCell ref="MDC33:MDD33"/>
    <mergeCell ref="MDE33:MDF33"/>
    <mergeCell ref="MCM33:MCN33"/>
    <mergeCell ref="MCO33:MCP33"/>
    <mergeCell ref="MCQ33:MCR33"/>
    <mergeCell ref="MCS33:MCT33"/>
    <mergeCell ref="MCU33:MCV33"/>
    <mergeCell ref="MCC33:MCD33"/>
    <mergeCell ref="MCE33:MCF33"/>
    <mergeCell ref="MCG33:MCH33"/>
    <mergeCell ref="MCI33:MCJ33"/>
    <mergeCell ref="MCK33:MCL33"/>
    <mergeCell ref="MEU33:MEV33"/>
    <mergeCell ref="MEW33:MEX33"/>
    <mergeCell ref="MEY33:MEZ33"/>
    <mergeCell ref="MFA33:MFB33"/>
    <mergeCell ref="MFC33:MFD33"/>
    <mergeCell ref="MEK33:MEL33"/>
    <mergeCell ref="MEM33:MEN33"/>
    <mergeCell ref="MEO33:MEP33"/>
    <mergeCell ref="MEQ33:MER33"/>
    <mergeCell ref="MES33:MET33"/>
    <mergeCell ref="MEA33:MEB33"/>
    <mergeCell ref="MEC33:MED33"/>
    <mergeCell ref="MEE33:MEF33"/>
    <mergeCell ref="MEG33:MEH33"/>
    <mergeCell ref="MEI33:MEJ33"/>
    <mergeCell ref="MDQ33:MDR33"/>
    <mergeCell ref="MDS33:MDT33"/>
    <mergeCell ref="MDU33:MDV33"/>
    <mergeCell ref="MDW33:MDX33"/>
    <mergeCell ref="MDY33:MDZ33"/>
    <mergeCell ref="MGI33:MGJ33"/>
    <mergeCell ref="MGK33:MGL33"/>
    <mergeCell ref="MGM33:MGN33"/>
    <mergeCell ref="MGO33:MGP33"/>
    <mergeCell ref="MGQ33:MGR33"/>
    <mergeCell ref="MFY33:MFZ33"/>
    <mergeCell ref="MGA33:MGB33"/>
    <mergeCell ref="MGC33:MGD33"/>
    <mergeCell ref="MGE33:MGF33"/>
    <mergeCell ref="MGG33:MGH33"/>
    <mergeCell ref="MFO33:MFP33"/>
    <mergeCell ref="MFQ33:MFR33"/>
    <mergeCell ref="MFS33:MFT33"/>
    <mergeCell ref="MFU33:MFV33"/>
    <mergeCell ref="MFW33:MFX33"/>
    <mergeCell ref="MFE33:MFF33"/>
    <mergeCell ref="MFG33:MFH33"/>
    <mergeCell ref="MFI33:MFJ33"/>
    <mergeCell ref="MFK33:MFL33"/>
    <mergeCell ref="MFM33:MFN33"/>
    <mergeCell ref="MHW33:MHX33"/>
    <mergeCell ref="MHY33:MHZ33"/>
    <mergeCell ref="MIA33:MIB33"/>
    <mergeCell ref="MIC33:MID33"/>
    <mergeCell ref="MIE33:MIF33"/>
    <mergeCell ref="MHM33:MHN33"/>
    <mergeCell ref="MHO33:MHP33"/>
    <mergeCell ref="MHQ33:MHR33"/>
    <mergeCell ref="MHS33:MHT33"/>
    <mergeCell ref="MHU33:MHV33"/>
    <mergeCell ref="MHC33:MHD33"/>
    <mergeCell ref="MHE33:MHF33"/>
    <mergeCell ref="MHG33:MHH33"/>
    <mergeCell ref="MHI33:MHJ33"/>
    <mergeCell ref="MHK33:MHL33"/>
    <mergeCell ref="MGS33:MGT33"/>
    <mergeCell ref="MGU33:MGV33"/>
    <mergeCell ref="MGW33:MGX33"/>
    <mergeCell ref="MGY33:MGZ33"/>
    <mergeCell ref="MHA33:MHB33"/>
    <mergeCell ref="MJK33:MJL33"/>
    <mergeCell ref="MJM33:MJN33"/>
    <mergeCell ref="MJO33:MJP33"/>
    <mergeCell ref="MJQ33:MJR33"/>
    <mergeCell ref="MJS33:MJT33"/>
    <mergeCell ref="MJA33:MJB33"/>
    <mergeCell ref="MJC33:MJD33"/>
    <mergeCell ref="MJE33:MJF33"/>
    <mergeCell ref="MJG33:MJH33"/>
    <mergeCell ref="MJI33:MJJ33"/>
    <mergeCell ref="MIQ33:MIR33"/>
    <mergeCell ref="MIS33:MIT33"/>
    <mergeCell ref="MIU33:MIV33"/>
    <mergeCell ref="MIW33:MIX33"/>
    <mergeCell ref="MIY33:MIZ33"/>
    <mergeCell ref="MIG33:MIH33"/>
    <mergeCell ref="MII33:MIJ33"/>
    <mergeCell ref="MIK33:MIL33"/>
    <mergeCell ref="MIM33:MIN33"/>
    <mergeCell ref="MIO33:MIP33"/>
    <mergeCell ref="MKY33:MKZ33"/>
    <mergeCell ref="MLA33:MLB33"/>
    <mergeCell ref="MLC33:MLD33"/>
    <mergeCell ref="MLE33:MLF33"/>
    <mergeCell ref="MLG33:MLH33"/>
    <mergeCell ref="MKO33:MKP33"/>
    <mergeCell ref="MKQ33:MKR33"/>
    <mergeCell ref="MKS33:MKT33"/>
    <mergeCell ref="MKU33:MKV33"/>
    <mergeCell ref="MKW33:MKX33"/>
    <mergeCell ref="MKE33:MKF33"/>
    <mergeCell ref="MKG33:MKH33"/>
    <mergeCell ref="MKI33:MKJ33"/>
    <mergeCell ref="MKK33:MKL33"/>
    <mergeCell ref="MKM33:MKN33"/>
    <mergeCell ref="MJU33:MJV33"/>
    <mergeCell ref="MJW33:MJX33"/>
    <mergeCell ref="MJY33:MJZ33"/>
    <mergeCell ref="MKA33:MKB33"/>
    <mergeCell ref="MKC33:MKD33"/>
    <mergeCell ref="MMM33:MMN33"/>
    <mergeCell ref="MMO33:MMP33"/>
    <mergeCell ref="MMQ33:MMR33"/>
    <mergeCell ref="MMS33:MMT33"/>
    <mergeCell ref="MMU33:MMV33"/>
    <mergeCell ref="MMC33:MMD33"/>
    <mergeCell ref="MME33:MMF33"/>
    <mergeCell ref="MMG33:MMH33"/>
    <mergeCell ref="MMI33:MMJ33"/>
    <mergeCell ref="MMK33:MML33"/>
    <mergeCell ref="MLS33:MLT33"/>
    <mergeCell ref="MLU33:MLV33"/>
    <mergeCell ref="MLW33:MLX33"/>
    <mergeCell ref="MLY33:MLZ33"/>
    <mergeCell ref="MMA33:MMB33"/>
    <mergeCell ref="MLI33:MLJ33"/>
    <mergeCell ref="MLK33:MLL33"/>
    <mergeCell ref="MLM33:MLN33"/>
    <mergeCell ref="MLO33:MLP33"/>
    <mergeCell ref="MLQ33:MLR33"/>
    <mergeCell ref="MOA33:MOB33"/>
    <mergeCell ref="MOC33:MOD33"/>
    <mergeCell ref="MOE33:MOF33"/>
    <mergeCell ref="MOG33:MOH33"/>
    <mergeCell ref="MOI33:MOJ33"/>
    <mergeCell ref="MNQ33:MNR33"/>
    <mergeCell ref="MNS33:MNT33"/>
    <mergeCell ref="MNU33:MNV33"/>
    <mergeCell ref="MNW33:MNX33"/>
    <mergeCell ref="MNY33:MNZ33"/>
    <mergeCell ref="MNG33:MNH33"/>
    <mergeCell ref="MNI33:MNJ33"/>
    <mergeCell ref="MNK33:MNL33"/>
    <mergeCell ref="MNM33:MNN33"/>
    <mergeCell ref="MNO33:MNP33"/>
    <mergeCell ref="MMW33:MMX33"/>
    <mergeCell ref="MMY33:MMZ33"/>
    <mergeCell ref="MNA33:MNB33"/>
    <mergeCell ref="MNC33:MND33"/>
    <mergeCell ref="MNE33:MNF33"/>
    <mergeCell ref="MPO33:MPP33"/>
    <mergeCell ref="MPQ33:MPR33"/>
    <mergeCell ref="MPS33:MPT33"/>
    <mergeCell ref="MPU33:MPV33"/>
    <mergeCell ref="MPW33:MPX33"/>
    <mergeCell ref="MPE33:MPF33"/>
    <mergeCell ref="MPG33:MPH33"/>
    <mergeCell ref="MPI33:MPJ33"/>
    <mergeCell ref="MPK33:MPL33"/>
    <mergeCell ref="MPM33:MPN33"/>
    <mergeCell ref="MOU33:MOV33"/>
    <mergeCell ref="MOW33:MOX33"/>
    <mergeCell ref="MOY33:MOZ33"/>
    <mergeCell ref="MPA33:MPB33"/>
    <mergeCell ref="MPC33:MPD33"/>
    <mergeCell ref="MOK33:MOL33"/>
    <mergeCell ref="MOM33:MON33"/>
    <mergeCell ref="MOO33:MOP33"/>
    <mergeCell ref="MOQ33:MOR33"/>
    <mergeCell ref="MOS33:MOT33"/>
    <mergeCell ref="MRC33:MRD33"/>
    <mergeCell ref="MRE33:MRF33"/>
    <mergeCell ref="MRG33:MRH33"/>
    <mergeCell ref="MRI33:MRJ33"/>
    <mergeCell ref="MRK33:MRL33"/>
    <mergeCell ref="MQS33:MQT33"/>
    <mergeCell ref="MQU33:MQV33"/>
    <mergeCell ref="MQW33:MQX33"/>
    <mergeCell ref="MQY33:MQZ33"/>
    <mergeCell ref="MRA33:MRB33"/>
    <mergeCell ref="MQI33:MQJ33"/>
    <mergeCell ref="MQK33:MQL33"/>
    <mergeCell ref="MQM33:MQN33"/>
    <mergeCell ref="MQO33:MQP33"/>
    <mergeCell ref="MQQ33:MQR33"/>
    <mergeCell ref="MPY33:MPZ33"/>
    <mergeCell ref="MQA33:MQB33"/>
    <mergeCell ref="MQC33:MQD33"/>
    <mergeCell ref="MQE33:MQF33"/>
    <mergeCell ref="MQG33:MQH33"/>
    <mergeCell ref="MSQ33:MSR33"/>
    <mergeCell ref="MSS33:MST33"/>
    <mergeCell ref="MSU33:MSV33"/>
    <mergeCell ref="MSW33:MSX33"/>
    <mergeCell ref="MSY33:MSZ33"/>
    <mergeCell ref="MSG33:MSH33"/>
    <mergeCell ref="MSI33:MSJ33"/>
    <mergeCell ref="MSK33:MSL33"/>
    <mergeCell ref="MSM33:MSN33"/>
    <mergeCell ref="MSO33:MSP33"/>
    <mergeCell ref="MRW33:MRX33"/>
    <mergeCell ref="MRY33:MRZ33"/>
    <mergeCell ref="MSA33:MSB33"/>
    <mergeCell ref="MSC33:MSD33"/>
    <mergeCell ref="MSE33:MSF33"/>
    <mergeCell ref="MRM33:MRN33"/>
    <mergeCell ref="MRO33:MRP33"/>
    <mergeCell ref="MRQ33:MRR33"/>
    <mergeCell ref="MRS33:MRT33"/>
    <mergeCell ref="MRU33:MRV33"/>
    <mergeCell ref="MUE33:MUF33"/>
    <mergeCell ref="MUG33:MUH33"/>
    <mergeCell ref="MUI33:MUJ33"/>
    <mergeCell ref="MUK33:MUL33"/>
    <mergeCell ref="MUM33:MUN33"/>
    <mergeCell ref="MTU33:MTV33"/>
    <mergeCell ref="MTW33:MTX33"/>
    <mergeCell ref="MTY33:MTZ33"/>
    <mergeCell ref="MUA33:MUB33"/>
    <mergeCell ref="MUC33:MUD33"/>
    <mergeCell ref="MTK33:MTL33"/>
    <mergeCell ref="MTM33:MTN33"/>
    <mergeCell ref="MTO33:MTP33"/>
    <mergeCell ref="MTQ33:MTR33"/>
    <mergeCell ref="MTS33:MTT33"/>
    <mergeCell ref="MTA33:MTB33"/>
    <mergeCell ref="MTC33:MTD33"/>
    <mergeCell ref="MTE33:MTF33"/>
    <mergeCell ref="MTG33:MTH33"/>
    <mergeCell ref="MTI33:MTJ33"/>
    <mergeCell ref="MVS33:MVT33"/>
    <mergeCell ref="MVU33:MVV33"/>
    <mergeCell ref="MVW33:MVX33"/>
    <mergeCell ref="MVY33:MVZ33"/>
    <mergeCell ref="MWA33:MWB33"/>
    <mergeCell ref="MVI33:MVJ33"/>
    <mergeCell ref="MVK33:MVL33"/>
    <mergeCell ref="MVM33:MVN33"/>
    <mergeCell ref="MVO33:MVP33"/>
    <mergeCell ref="MVQ33:MVR33"/>
    <mergeCell ref="MUY33:MUZ33"/>
    <mergeCell ref="MVA33:MVB33"/>
    <mergeCell ref="MVC33:MVD33"/>
    <mergeCell ref="MVE33:MVF33"/>
    <mergeCell ref="MVG33:MVH33"/>
    <mergeCell ref="MUO33:MUP33"/>
    <mergeCell ref="MUQ33:MUR33"/>
    <mergeCell ref="MUS33:MUT33"/>
    <mergeCell ref="MUU33:MUV33"/>
    <mergeCell ref="MUW33:MUX33"/>
    <mergeCell ref="MXG33:MXH33"/>
    <mergeCell ref="MXI33:MXJ33"/>
    <mergeCell ref="MXK33:MXL33"/>
    <mergeCell ref="MXM33:MXN33"/>
    <mergeCell ref="MXO33:MXP33"/>
    <mergeCell ref="MWW33:MWX33"/>
    <mergeCell ref="MWY33:MWZ33"/>
    <mergeCell ref="MXA33:MXB33"/>
    <mergeCell ref="MXC33:MXD33"/>
    <mergeCell ref="MXE33:MXF33"/>
    <mergeCell ref="MWM33:MWN33"/>
    <mergeCell ref="MWO33:MWP33"/>
    <mergeCell ref="MWQ33:MWR33"/>
    <mergeCell ref="MWS33:MWT33"/>
    <mergeCell ref="MWU33:MWV33"/>
    <mergeCell ref="MWC33:MWD33"/>
    <mergeCell ref="MWE33:MWF33"/>
    <mergeCell ref="MWG33:MWH33"/>
    <mergeCell ref="MWI33:MWJ33"/>
    <mergeCell ref="MWK33:MWL33"/>
    <mergeCell ref="MYU33:MYV33"/>
    <mergeCell ref="MYW33:MYX33"/>
    <mergeCell ref="MYY33:MYZ33"/>
    <mergeCell ref="MZA33:MZB33"/>
    <mergeCell ref="MZC33:MZD33"/>
    <mergeCell ref="MYK33:MYL33"/>
    <mergeCell ref="MYM33:MYN33"/>
    <mergeCell ref="MYO33:MYP33"/>
    <mergeCell ref="MYQ33:MYR33"/>
    <mergeCell ref="MYS33:MYT33"/>
    <mergeCell ref="MYA33:MYB33"/>
    <mergeCell ref="MYC33:MYD33"/>
    <mergeCell ref="MYE33:MYF33"/>
    <mergeCell ref="MYG33:MYH33"/>
    <mergeCell ref="MYI33:MYJ33"/>
    <mergeCell ref="MXQ33:MXR33"/>
    <mergeCell ref="MXS33:MXT33"/>
    <mergeCell ref="MXU33:MXV33"/>
    <mergeCell ref="MXW33:MXX33"/>
    <mergeCell ref="MXY33:MXZ33"/>
    <mergeCell ref="NAI33:NAJ33"/>
    <mergeCell ref="NAK33:NAL33"/>
    <mergeCell ref="NAM33:NAN33"/>
    <mergeCell ref="NAO33:NAP33"/>
    <mergeCell ref="NAQ33:NAR33"/>
    <mergeCell ref="MZY33:MZZ33"/>
    <mergeCell ref="NAA33:NAB33"/>
    <mergeCell ref="NAC33:NAD33"/>
    <mergeCell ref="NAE33:NAF33"/>
    <mergeCell ref="NAG33:NAH33"/>
    <mergeCell ref="MZO33:MZP33"/>
    <mergeCell ref="MZQ33:MZR33"/>
    <mergeCell ref="MZS33:MZT33"/>
    <mergeCell ref="MZU33:MZV33"/>
    <mergeCell ref="MZW33:MZX33"/>
    <mergeCell ref="MZE33:MZF33"/>
    <mergeCell ref="MZG33:MZH33"/>
    <mergeCell ref="MZI33:MZJ33"/>
    <mergeCell ref="MZK33:MZL33"/>
    <mergeCell ref="MZM33:MZN33"/>
    <mergeCell ref="NBW33:NBX33"/>
    <mergeCell ref="NBY33:NBZ33"/>
    <mergeCell ref="NCA33:NCB33"/>
    <mergeCell ref="NCC33:NCD33"/>
    <mergeCell ref="NCE33:NCF33"/>
    <mergeCell ref="NBM33:NBN33"/>
    <mergeCell ref="NBO33:NBP33"/>
    <mergeCell ref="NBQ33:NBR33"/>
    <mergeCell ref="NBS33:NBT33"/>
    <mergeCell ref="NBU33:NBV33"/>
    <mergeCell ref="NBC33:NBD33"/>
    <mergeCell ref="NBE33:NBF33"/>
    <mergeCell ref="NBG33:NBH33"/>
    <mergeCell ref="NBI33:NBJ33"/>
    <mergeCell ref="NBK33:NBL33"/>
    <mergeCell ref="NAS33:NAT33"/>
    <mergeCell ref="NAU33:NAV33"/>
    <mergeCell ref="NAW33:NAX33"/>
    <mergeCell ref="NAY33:NAZ33"/>
    <mergeCell ref="NBA33:NBB33"/>
    <mergeCell ref="NDK33:NDL33"/>
    <mergeCell ref="NDM33:NDN33"/>
    <mergeCell ref="NDO33:NDP33"/>
    <mergeCell ref="NDQ33:NDR33"/>
    <mergeCell ref="NDS33:NDT33"/>
    <mergeCell ref="NDA33:NDB33"/>
    <mergeCell ref="NDC33:NDD33"/>
    <mergeCell ref="NDE33:NDF33"/>
    <mergeCell ref="NDG33:NDH33"/>
    <mergeCell ref="NDI33:NDJ33"/>
    <mergeCell ref="NCQ33:NCR33"/>
    <mergeCell ref="NCS33:NCT33"/>
    <mergeCell ref="NCU33:NCV33"/>
    <mergeCell ref="NCW33:NCX33"/>
    <mergeCell ref="NCY33:NCZ33"/>
    <mergeCell ref="NCG33:NCH33"/>
    <mergeCell ref="NCI33:NCJ33"/>
    <mergeCell ref="NCK33:NCL33"/>
    <mergeCell ref="NCM33:NCN33"/>
    <mergeCell ref="NCO33:NCP33"/>
    <mergeCell ref="NEY33:NEZ33"/>
    <mergeCell ref="NFA33:NFB33"/>
    <mergeCell ref="NFC33:NFD33"/>
    <mergeCell ref="NFE33:NFF33"/>
    <mergeCell ref="NFG33:NFH33"/>
    <mergeCell ref="NEO33:NEP33"/>
    <mergeCell ref="NEQ33:NER33"/>
    <mergeCell ref="NES33:NET33"/>
    <mergeCell ref="NEU33:NEV33"/>
    <mergeCell ref="NEW33:NEX33"/>
    <mergeCell ref="NEE33:NEF33"/>
    <mergeCell ref="NEG33:NEH33"/>
    <mergeCell ref="NEI33:NEJ33"/>
    <mergeCell ref="NEK33:NEL33"/>
    <mergeCell ref="NEM33:NEN33"/>
    <mergeCell ref="NDU33:NDV33"/>
    <mergeCell ref="NDW33:NDX33"/>
    <mergeCell ref="NDY33:NDZ33"/>
    <mergeCell ref="NEA33:NEB33"/>
    <mergeCell ref="NEC33:NED33"/>
    <mergeCell ref="NGM33:NGN33"/>
    <mergeCell ref="NGO33:NGP33"/>
    <mergeCell ref="NGQ33:NGR33"/>
    <mergeCell ref="NGS33:NGT33"/>
    <mergeCell ref="NGU33:NGV33"/>
    <mergeCell ref="NGC33:NGD33"/>
    <mergeCell ref="NGE33:NGF33"/>
    <mergeCell ref="NGG33:NGH33"/>
    <mergeCell ref="NGI33:NGJ33"/>
    <mergeCell ref="NGK33:NGL33"/>
    <mergeCell ref="NFS33:NFT33"/>
    <mergeCell ref="NFU33:NFV33"/>
    <mergeCell ref="NFW33:NFX33"/>
    <mergeCell ref="NFY33:NFZ33"/>
    <mergeCell ref="NGA33:NGB33"/>
    <mergeCell ref="NFI33:NFJ33"/>
    <mergeCell ref="NFK33:NFL33"/>
    <mergeCell ref="NFM33:NFN33"/>
    <mergeCell ref="NFO33:NFP33"/>
    <mergeCell ref="NFQ33:NFR33"/>
    <mergeCell ref="NIA33:NIB33"/>
    <mergeCell ref="NIC33:NID33"/>
    <mergeCell ref="NIE33:NIF33"/>
    <mergeCell ref="NIG33:NIH33"/>
    <mergeCell ref="NII33:NIJ33"/>
    <mergeCell ref="NHQ33:NHR33"/>
    <mergeCell ref="NHS33:NHT33"/>
    <mergeCell ref="NHU33:NHV33"/>
    <mergeCell ref="NHW33:NHX33"/>
    <mergeCell ref="NHY33:NHZ33"/>
    <mergeCell ref="NHG33:NHH33"/>
    <mergeCell ref="NHI33:NHJ33"/>
    <mergeCell ref="NHK33:NHL33"/>
    <mergeCell ref="NHM33:NHN33"/>
    <mergeCell ref="NHO33:NHP33"/>
    <mergeCell ref="NGW33:NGX33"/>
    <mergeCell ref="NGY33:NGZ33"/>
    <mergeCell ref="NHA33:NHB33"/>
    <mergeCell ref="NHC33:NHD33"/>
    <mergeCell ref="NHE33:NHF33"/>
    <mergeCell ref="NJO33:NJP33"/>
    <mergeCell ref="NJQ33:NJR33"/>
    <mergeCell ref="NJS33:NJT33"/>
    <mergeCell ref="NJU33:NJV33"/>
    <mergeCell ref="NJW33:NJX33"/>
    <mergeCell ref="NJE33:NJF33"/>
    <mergeCell ref="NJG33:NJH33"/>
    <mergeCell ref="NJI33:NJJ33"/>
    <mergeCell ref="NJK33:NJL33"/>
    <mergeCell ref="NJM33:NJN33"/>
    <mergeCell ref="NIU33:NIV33"/>
    <mergeCell ref="NIW33:NIX33"/>
    <mergeCell ref="NIY33:NIZ33"/>
    <mergeCell ref="NJA33:NJB33"/>
    <mergeCell ref="NJC33:NJD33"/>
    <mergeCell ref="NIK33:NIL33"/>
    <mergeCell ref="NIM33:NIN33"/>
    <mergeCell ref="NIO33:NIP33"/>
    <mergeCell ref="NIQ33:NIR33"/>
    <mergeCell ref="NIS33:NIT33"/>
    <mergeCell ref="NLC33:NLD33"/>
    <mergeCell ref="NLE33:NLF33"/>
    <mergeCell ref="NLG33:NLH33"/>
    <mergeCell ref="NLI33:NLJ33"/>
    <mergeCell ref="NLK33:NLL33"/>
    <mergeCell ref="NKS33:NKT33"/>
    <mergeCell ref="NKU33:NKV33"/>
    <mergeCell ref="NKW33:NKX33"/>
    <mergeCell ref="NKY33:NKZ33"/>
    <mergeCell ref="NLA33:NLB33"/>
    <mergeCell ref="NKI33:NKJ33"/>
    <mergeCell ref="NKK33:NKL33"/>
    <mergeCell ref="NKM33:NKN33"/>
    <mergeCell ref="NKO33:NKP33"/>
    <mergeCell ref="NKQ33:NKR33"/>
    <mergeCell ref="NJY33:NJZ33"/>
    <mergeCell ref="NKA33:NKB33"/>
    <mergeCell ref="NKC33:NKD33"/>
    <mergeCell ref="NKE33:NKF33"/>
    <mergeCell ref="NKG33:NKH33"/>
    <mergeCell ref="NMQ33:NMR33"/>
    <mergeCell ref="NMS33:NMT33"/>
    <mergeCell ref="NMU33:NMV33"/>
    <mergeCell ref="NMW33:NMX33"/>
    <mergeCell ref="NMY33:NMZ33"/>
    <mergeCell ref="NMG33:NMH33"/>
    <mergeCell ref="NMI33:NMJ33"/>
    <mergeCell ref="NMK33:NML33"/>
    <mergeCell ref="NMM33:NMN33"/>
    <mergeCell ref="NMO33:NMP33"/>
    <mergeCell ref="NLW33:NLX33"/>
    <mergeCell ref="NLY33:NLZ33"/>
    <mergeCell ref="NMA33:NMB33"/>
    <mergeCell ref="NMC33:NMD33"/>
    <mergeCell ref="NME33:NMF33"/>
    <mergeCell ref="NLM33:NLN33"/>
    <mergeCell ref="NLO33:NLP33"/>
    <mergeCell ref="NLQ33:NLR33"/>
    <mergeCell ref="NLS33:NLT33"/>
    <mergeCell ref="NLU33:NLV33"/>
    <mergeCell ref="NOE33:NOF33"/>
    <mergeCell ref="NOG33:NOH33"/>
    <mergeCell ref="NOI33:NOJ33"/>
    <mergeCell ref="NOK33:NOL33"/>
    <mergeCell ref="NOM33:NON33"/>
    <mergeCell ref="NNU33:NNV33"/>
    <mergeCell ref="NNW33:NNX33"/>
    <mergeCell ref="NNY33:NNZ33"/>
    <mergeCell ref="NOA33:NOB33"/>
    <mergeCell ref="NOC33:NOD33"/>
    <mergeCell ref="NNK33:NNL33"/>
    <mergeCell ref="NNM33:NNN33"/>
    <mergeCell ref="NNO33:NNP33"/>
    <mergeCell ref="NNQ33:NNR33"/>
    <mergeCell ref="NNS33:NNT33"/>
    <mergeCell ref="NNA33:NNB33"/>
    <mergeCell ref="NNC33:NND33"/>
    <mergeCell ref="NNE33:NNF33"/>
    <mergeCell ref="NNG33:NNH33"/>
    <mergeCell ref="NNI33:NNJ33"/>
    <mergeCell ref="NPS33:NPT33"/>
    <mergeCell ref="NPU33:NPV33"/>
    <mergeCell ref="NPW33:NPX33"/>
    <mergeCell ref="NPY33:NPZ33"/>
    <mergeCell ref="NQA33:NQB33"/>
    <mergeCell ref="NPI33:NPJ33"/>
    <mergeCell ref="NPK33:NPL33"/>
    <mergeCell ref="NPM33:NPN33"/>
    <mergeCell ref="NPO33:NPP33"/>
    <mergeCell ref="NPQ33:NPR33"/>
    <mergeCell ref="NOY33:NOZ33"/>
    <mergeCell ref="NPA33:NPB33"/>
    <mergeCell ref="NPC33:NPD33"/>
    <mergeCell ref="NPE33:NPF33"/>
    <mergeCell ref="NPG33:NPH33"/>
    <mergeCell ref="NOO33:NOP33"/>
    <mergeCell ref="NOQ33:NOR33"/>
    <mergeCell ref="NOS33:NOT33"/>
    <mergeCell ref="NOU33:NOV33"/>
    <mergeCell ref="NOW33:NOX33"/>
    <mergeCell ref="NRG33:NRH33"/>
    <mergeCell ref="NRI33:NRJ33"/>
    <mergeCell ref="NRK33:NRL33"/>
    <mergeCell ref="NRM33:NRN33"/>
    <mergeCell ref="NRO33:NRP33"/>
    <mergeCell ref="NQW33:NQX33"/>
    <mergeCell ref="NQY33:NQZ33"/>
    <mergeCell ref="NRA33:NRB33"/>
    <mergeCell ref="NRC33:NRD33"/>
    <mergeCell ref="NRE33:NRF33"/>
    <mergeCell ref="NQM33:NQN33"/>
    <mergeCell ref="NQO33:NQP33"/>
    <mergeCell ref="NQQ33:NQR33"/>
    <mergeCell ref="NQS33:NQT33"/>
    <mergeCell ref="NQU33:NQV33"/>
    <mergeCell ref="NQC33:NQD33"/>
    <mergeCell ref="NQE33:NQF33"/>
    <mergeCell ref="NQG33:NQH33"/>
    <mergeCell ref="NQI33:NQJ33"/>
    <mergeCell ref="NQK33:NQL33"/>
    <mergeCell ref="NSU33:NSV33"/>
    <mergeCell ref="NSW33:NSX33"/>
    <mergeCell ref="NSY33:NSZ33"/>
    <mergeCell ref="NTA33:NTB33"/>
    <mergeCell ref="NTC33:NTD33"/>
    <mergeCell ref="NSK33:NSL33"/>
    <mergeCell ref="NSM33:NSN33"/>
    <mergeCell ref="NSO33:NSP33"/>
    <mergeCell ref="NSQ33:NSR33"/>
    <mergeCell ref="NSS33:NST33"/>
    <mergeCell ref="NSA33:NSB33"/>
    <mergeCell ref="NSC33:NSD33"/>
    <mergeCell ref="NSE33:NSF33"/>
    <mergeCell ref="NSG33:NSH33"/>
    <mergeCell ref="NSI33:NSJ33"/>
    <mergeCell ref="NRQ33:NRR33"/>
    <mergeCell ref="NRS33:NRT33"/>
    <mergeCell ref="NRU33:NRV33"/>
    <mergeCell ref="NRW33:NRX33"/>
    <mergeCell ref="NRY33:NRZ33"/>
    <mergeCell ref="NUI33:NUJ33"/>
    <mergeCell ref="NUK33:NUL33"/>
    <mergeCell ref="NUM33:NUN33"/>
    <mergeCell ref="NUO33:NUP33"/>
    <mergeCell ref="NUQ33:NUR33"/>
    <mergeCell ref="NTY33:NTZ33"/>
    <mergeCell ref="NUA33:NUB33"/>
    <mergeCell ref="NUC33:NUD33"/>
    <mergeCell ref="NUE33:NUF33"/>
    <mergeCell ref="NUG33:NUH33"/>
    <mergeCell ref="NTO33:NTP33"/>
    <mergeCell ref="NTQ33:NTR33"/>
    <mergeCell ref="NTS33:NTT33"/>
    <mergeCell ref="NTU33:NTV33"/>
    <mergeCell ref="NTW33:NTX33"/>
    <mergeCell ref="NTE33:NTF33"/>
    <mergeCell ref="NTG33:NTH33"/>
    <mergeCell ref="NTI33:NTJ33"/>
    <mergeCell ref="NTK33:NTL33"/>
    <mergeCell ref="NTM33:NTN33"/>
    <mergeCell ref="NVW33:NVX33"/>
    <mergeCell ref="NVY33:NVZ33"/>
    <mergeCell ref="NWA33:NWB33"/>
    <mergeCell ref="NWC33:NWD33"/>
    <mergeCell ref="NWE33:NWF33"/>
    <mergeCell ref="NVM33:NVN33"/>
    <mergeCell ref="NVO33:NVP33"/>
    <mergeCell ref="NVQ33:NVR33"/>
    <mergeCell ref="NVS33:NVT33"/>
    <mergeCell ref="NVU33:NVV33"/>
    <mergeCell ref="NVC33:NVD33"/>
    <mergeCell ref="NVE33:NVF33"/>
    <mergeCell ref="NVG33:NVH33"/>
    <mergeCell ref="NVI33:NVJ33"/>
    <mergeCell ref="NVK33:NVL33"/>
    <mergeCell ref="NUS33:NUT33"/>
    <mergeCell ref="NUU33:NUV33"/>
    <mergeCell ref="NUW33:NUX33"/>
    <mergeCell ref="NUY33:NUZ33"/>
    <mergeCell ref="NVA33:NVB33"/>
    <mergeCell ref="NXK33:NXL33"/>
    <mergeCell ref="NXM33:NXN33"/>
    <mergeCell ref="NXO33:NXP33"/>
    <mergeCell ref="NXQ33:NXR33"/>
    <mergeCell ref="NXS33:NXT33"/>
    <mergeCell ref="NXA33:NXB33"/>
    <mergeCell ref="NXC33:NXD33"/>
    <mergeCell ref="NXE33:NXF33"/>
    <mergeCell ref="NXG33:NXH33"/>
    <mergeCell ref="NXI33:NXJ33"/>
    <mergeCell ref="NWQ33:NWR33"/>
    <mergeCell ref="NWS33:NWT33"/>
    <mergeCell ref="NWU33:NWV33"/>
    <mergeCell ref="NWW33:NWX33"/>
    <mergeCell ref="NWY33:NWZ33"/>
    <mergeCell ref="NWG33:NWH33"/>
    <mergeCell ref="NWI33:NWJ33"/>
    <mergeCell ref="NWK33:NWL33"/>
    <mergeCell ref="NWM33:NWN33"/>
    <mergeCell ref="NWO33:NWP33"/>
    <mergeCell ref="NYY33:NYZ33"/>
    <mergeCell ref="NZA33:NZB33"/>
    <mergeCell ref="NZC33:NZD33"/>
    <mergeCell ref="NZE33:NZF33"/>
    <mergeCell ref="NZG33:NZH33"/>
    <mergeCell ref="NYO33:NYP33"/>
    <mergeCell ref="NYQ33:NYR33"/>
    <mergeCell ref="NYS33:NYT33"/>
    <mergeCell ref="NYU33:NYV33"/>
    <mergeCell ref="NYW33:NYX33"/>
    <mergeCell ref="NYE33:NYF33"/>
    <mergeCell ref="NYG33:NYH33"/>
    <mergeCell ref="NYI33:NYJ33"/>
    <mergeCell ref="NYK33:NYL33"/>
    <mergeCell ref="NYM33:NYN33"/>
    <mergeCell ref="NXU33:NXV33"/>
    <mergeCell ref="NXW33:NXX33"/>
    <mergeCell ref="NXY33:NXZ33"/>
    <mergeCell ref="NYA33:NYB33"/>
    <mergeCell ref="NYC33:NYD33"/>
    <mergeCell ref="OAM33:OAN33"/>
    <mergeCell ref="OAO33:OAP33"/>
    <mergeCell ref="OAQ33:OAR33"/>
    <mergeCell ref="OAS33:OAT33"/>
    <mergeCell ref="OAU33:OAV33"/>
    <mergeCell ref="OAC33:OAD33"/>
    <mergeCell ref="OAE33:OAF33"/>
    <mergeCell ref="OAG33:OAH33"/>
    <mergeCell ref="OAI33:OAJ33"/>
    <mergeCell ref="OAK33:OAL33"/>
    <mergeCell ref="NZS33:NZT33"/>
    <mergeCell ref="NZU33:NZV33"/>
    <mergeCell ref="NZW33:NZX33"/>
    <mergeCell ref="NZY33:NZZ33"/>
    <mergeCell ref="OAA33:OAB33"/>
    <mergeCell ref="NZI33:NZJ33"/>
    <mergeCell ref="NZK33:NZL33"/>
    <mergeCell ref="NZM33:NZN33"/>
    <mergeCell ref="NZO33:NZP33"/>
    <mergeCell ref="NZQ33:NZR33"/>
    <mergeCell ref="OCA33:OCB33"/>
    <mergeCell ref="OCC33:OCD33"/>
    <mergeCell ref="OCE33:OCF33"/>
    <mergeCell ref="OCG33:OCH33"/>
    <mergeCell ref="OCI33:OCJ33"/>
    <mergeCell ref="OBQ33:OBR33"/>
    <mergeCell ref="OBS33:OBT33"/>
    <mergeCell ref="OBU33:OBV33"/>
    <mergeCell ref="OBW33:OBX33"/>
    <mergeCell ref="OBY33:OBZ33"/>
    <mergeCell ref="OBG33:OBH33"/>
    <mergeCell ref="OBI33:OBJ33"/>
    <mergeCell ref="OBK33:OBL33"/>
    <mergeCell ref="OBM33:OBN33"/>
    <mergeCell ref="OBO33:OBP33"/>
    <mergeCell ref="OAW33:OAX33"/>
    <mergeCell ref="OAY33:OAZ33"/>
    <mergeCell ref="OBA33:OBB33"/>
    <mergeCell ref="OBC33:OBD33"/>
    <mergeCell ref="OBE33:OBF33"/>
    <mergeCell ref="ODO33:ODP33"/>
    <mergeCell ref="ODQ33:ODR33"/>
    <mergeCell ref="ODS33:ODT33"/>
    <mergeCell ref="ODU33:ODV33"/>
    <mergeCell ref="ODW33:ODX33"/>
    <mergeCell ref="ODE33:ODF33"/>
    <mergeCell ref="ODG33:ODH33"/>
    <mergeCell ref="ODI33:ODJ33"/>
    <mergeCell ref="ODK33:ODL33"/>
    <mergeCell ref="ODM33:ODN33"/>
    <mergeCell ref="OCU33:OCV33"/>
    <mergeCell ref="OCW33:OCX33"/>
    <mergeCell ref="OCY33:OCZ33"/>
    <mergeCell ref="ODA33:ODB33"/>
    <mergeCell ref="ODC33:ODD33"/>
    <mergeCell ref="OCK33:OCL33"/>
    <mergeCell ref="OCM33:OCN33"/>
    <mergeCell ref="OCO33:OCP33"/>
    <mergeCell ref="OCQ33:OCR33"/>
    <mergeCell ref="OCS33:OCT33"/>
    <mergeCell ref="OFC33:OFD33"/>
    <mergeCell ref="OFE33:OFF33"/>
    <mergeCell ref="OFG33:OFH33"/>
    <mergeCell ref="OFI33:OFJ33"/>
    <mergeCell ref="OFK33:OFL33"/>
    <mergeCell ref="OES33:OET33"/>
    <mergeCell ref="OEU33:OEV33"/>
    <mergeCell ref="OEW33:OEX33"/>
    <mergeCell ref="OEY33:OEZ33"/>
    <mergeCell ref="OFA33:OFB33"/>
    <mergeCell ref="OEI33:OEJ33"/>
    <mergeCell ref="OEK33:OEL33"/>
    <mergeCell ref="OEM33:OEN33"/>
    <mergeCell ref="OEO33:OEP33"/>
    <mergeCell ref="OEQ33:OER33"/>
    <mergeCell ref="ODY33:ODZ33"/>
    <mergeCell ref="OEA33:OEB33"/>
    <mergeCell ref="OEC33:OED33"/>
    <mergeCell ref="OEE33:OEF33"/>
    <mergeCell ref="OEG33:OEH33"/>
    <mergeCell ref="OGQ33:OGR33"/>
    <mergeCell ref="OGS33:OGT33"/>
    <mergeCell ref="OGU33:OGV33"/>
    <mergeCell ref="OGW33:OGX33"/>
    <mergeCell ref="OGY33:OGZ33"/>
    <mergeCell ref="OGG33:OGH33"/>
    <mergeCell ref="OGI33:OGJ33"/>
    <mergeCell ref="OGK33:OGL33"/>
    <mergeCell ref="OGM33:OGN33"/>
    <mergeCell ref="OGO33:OGP33"/>
    <mergeCell ref="OFW33:OFX33"/>
    <mergeCell ref="OFY33:OFZ33"/>
    <mergeCell ref="OGA33:OGB33"/>
    <mergeCell ref="OGC33:OGD33"/>
    <mergeCell ref="OGE33:OGF33"/>
    <mergeCell ref="OFM33:OFN33"/>
    <mergeCell ref="OFO33:OFP33"/>
    <mergeCell ref="OFQ33:OFR33"/>
    <mergeCell ref="OFS33:OFT33"/>
    <mergeCell ref="OFU33:OFV33"/>
    <mergeCell ref="OIE33:OIF33"/>
    <mergeCell ref="OIG33:OIH33"/>
    <mergeCell ref="OII33:OIJ33"/>
    <mergeCell ref="OIK33:OIL33"/>
    <mergeCell ref="OIM33:OIN33"/>
    <mergeCell ref="OHU33:OHV33"/>
    <mergeCell ref="OHW33:OHX33"/>
    <mergeCell ref="OHY33:OHZ33"/>
    <mergeCell ref="OIA33:OIB33"/>
    <mergeCell ref="OIC33:OID33"/>
    <mergeCell ref="OHK33:OHL33"/>
    <mergeCell ref="OHM33:OHN33"/>
    <mergeCell ref="OHO33:OHP33"/>
    <mergeCell ref="OHQ33:OHR33"/>
    <mergeCell ref="OHS33:OHT33"/>
    <mergeCell ref="OHA33:OHB33"/>
    <mergeCell ref="OHC33:OHD33"/>
    <mergeCell ref="OHE33:OHF33"/>
    <mergeCell ref="OHG33:OHH33"/>
    <mergeCell ref="OHI33:OHJ33"/>
    <mergeCell ref="OJS33:OJT33"/>
    <mergeCell ref="OJU33:OJV33"/>
    <mergeCell ref="OJW33:OJX33"/>
    <mergeCell ref="OJY33:OJZ33"/>
    <mergeCell ref="OKA33:OKB33"/>
    <mergeCell ref="OJI33:OJJ33"/>
    <mergeCell ref="OJK33:OJL33"/>
    <mergeCell ref="OJM33:OJN33"/>
    <mergeCell ref="OJO33:OJP33"/>
    <mergeCell ref="OJQ33:OJR33"/>
    <mergeCell ref="OIY33:OIZ33"/>
    <mergeCell ref="OJA33:OJB33"/>
    <mergeCell ref="OJC33:OJD33"/>
    <mergeCell ref="OJE33:OJF33"/>
    <mergeCell ref="OJG33:OJH33"/>
    <mergeCell ref="OIO33:OIP33"/>
    <mergeCell ref="OIQ33:OIR33"/>
    <mergeCell ref="OIS33:OIT33"/>
    <mergeCell ref="OIU33:OIV33"/>
    <mergeCell ref="OIW33:OIX33"/>
    <mergeCell ref="OLG33:OLH33"/>
    <mergeCell ref="OLI33:OLJ33"/>
    <mergeCell ref="OLK33:OLL33"/>
    <mergeCell ref="OLM33:OLN33"/>
    <mergeCell ref="OLO33:OLP33"/>
    <mergeCell ref="OKW33:OKX33"/>
    <mergeCell ref="OKY33:OKZ33"/>
    <mergeCell ref="OLA33:OLB33"/>
    <mergeCell ref="OLC33:OLD33"/>
    <mergeCell ref="OLE33:OLF33"/>
    <mergeCell ref="OKM33:OKN33"/>
    <mergeCell ref="OKO33:OKP33"/>
    <mergeCell ref="OKQ33:OKR33"/>
    <mergeCell ref="OKS33:OKT33"/>
    <mergeCell ref="OKU33:OKV33"/>
    <mergeCell ref="OKC33:OKD33"/>
    <mergeCell ref="OKE33:OKF33"/>
    <mergeCell ref="OKG33:OKH33"/>
    <mergeCell ref="OKI33:OKJ33"/>
    <mergeCell ref="OKK33:OKL33"/>
    <mergeCell ref="OMU33:OMV33"/>
    <mergeCell ref="OMW33:OMX33"/>
    <mergeCell ref="OMY33:OMZ33"/>
    <mergeCell ref="ONA33:ONB33"/>
    <mergeCell ref="ONC33:OND33"/>
    <mergeCell ref="OMK33:OML33"/>
    <mergeCell ref="OMM33:OMN33"/>
    <mergeCell ref="OMO33:OMP33"/>
    <mergeCell ref="OMQ33:OMR33"/>
    <mergeCell ref="OMS33:OMT33"/>
    <mergeCell ref="OMA33:OMB33"/>
    <mergeCell ref="OMC33:OMD33"/>
    <mergeCell ref="OME33:OMF33"/>
    <mergeCell ref="OMG33:OMH33"/>
    <mergeCell ref="OMI33:OMJ33"/>
    <mergeCell ref="OLQ33:OLR33"/>
    <mergeCell ref="OLS33:OLT33"/>
    <mergeCell ref="OLU33:OLV33"/>
    <mergeCell ref="OLW33:OLX33"/>
    <mergeCell ref="OLY33:OLZ33"/>
    <mergeCell ref="OOI33:OOJ33"/>
    <mergeCell ref="OOK33:OOL33"/>
    <mergeCell ref="OOM33:OON33"/>
    <mergeCell ref="OOO33:OOP33"/>
    <mergeCell ref="OOQ33:OOR33"/>
    <mergeCell ref="ONY33:ONZ33"/>
    <mergeCell ref="OOA33:OOB33"/>
    <mergeCell ref="OOC33:OOD33"/>
    <mergeCell ref="OOE33:OOF33"/>
    <mergeCell ref="OOG33:OOH33"/>
    <mergeCell ref="ONO33:ONP33"/>
    <mergeCell ref="ONQ33:ONR33"/>
    <mergeCell ref="ONS33:ONT33"/>
    <mergeCell ref="ONU33:ONV33"/>
    <mergeCell ref="ONW33:ONX33"/>
    <mergeCell ref="ONE33:ONF33"/>
    <mergeCell ref="ONG33:ONH33"/>
    <mergeCell ref="ONI33:ONJ33"/>
    <mergeCell ref="ONK33:ONL33"/>
    <mergeCell ref="ONM33:ONN33"/>
    <mergeCell ref="OPW33:OPX33"/>
    <mergeCell ref="OPY33:OPZ33"/>
    <mergeCell ref="OQA33:OQB33"/>
    <mergeCell ref="OQC33:OQD33"/>
    <mergeCell ref="OQE33:OQF33"/>
    <mergeCell ref="OPM33:OPN33"/>
    <mergeCell ref="OPO33:OPP33"/>
    <mergeCell ref="OPQ33:OPR33"/>
    <mergeCell ref="OPS33:OPT33"/>
    <mergeCell ref="OPU33:OPV33"/>
    <mergeCell ref="OPC33:OPD33"/>
    <mergeCell ref="OPE33:OPF33"/>
    <mergeCell ref="OPG33:OPH33"/>
    <mergeCell ref="OPI33:OPJ33"/>
    <mergeCell ref="OPK33:OPL33"/>
    <mergeCell ref="OOS33:OOT33"/>
    <mergeCell ref="OOU33:OOV33"/>
    <mergeCell ref="OOW33:OOX33"/>
    <mergeCell ref="OOY33:OOZ33"/>
    <mergeCell ref="OPA33:OPB33"/>
    <mergeCell ref="ORK33:ORL33"/>
    <mergeCell ref="ORM33:ORN33"/>
    <mergeCell ref="ORO33:ORP33"/>
    <mergeCell ref="ORQ33:ORR33"/>
    <mergeCell ref="ORS33:ORT33"/>
    <mergeCell ref="ORA33:ORB33"/>
    <mergeCell ref="ORC33:ORD33"/>
    <mergeCell ref="ORE33:ORF33"/>
    <mergeCell ref="ORG33:ORH33"/>
    <mergeCell ref="ORI33:ORJ33"/>
    <mergeCell ref="OQQ33:OQR33"/>
    <mergeCell ref="OQS33:OQT33"/>
    <mergeCell ref="OQU33:OQV33"/>
    <mergeCell ref="OQW33:OQX33"/>
    <mergeCell ref="OQY33:OQZ33"/>
    <mergeCell ref="OQG33:OQH33"/>
    <mergeCell ref="OQI33:OQJ33"/>
    <mergeCell ref="OQK33:OQL33"/>
    <mergeCell ref="OQM33:OQN33"/>
    <mergeCell ref="OQO33:OQP33"/>
    <mergeCell ref="OSY33:OSZ33"/>
    <mergeCell ref="OTA33:OTB33"/>
    <mergeCell ref="OTC33:OTD33"/>
    <mergeCell ref="OTE33:OTF33"/>
    <mergeCell ref="OTG33:OTH33"/>
    <mergeCell ref="OSO33:OSP33"/>
    <mergeCell ref="OSQ33:OSR33"/>
    <mergeCell ref="OSS33:OST33"/>
    <mergeCell ref="OSU33:OSV33"/>
    <mergeCell ref="OSW33:OSX33"/>
    <mergeCell ref="OSE33:OSF33"/>
    <mergeCell ref="OSG33:OSH33"/>
    <mergeCell ref="OSI33:OSJ33"/>
    <mergeCell ref="OSK33:OSL33"/>
    <mergeCell ref="OSM33:OSN33"/>
    <mergeCell ref="ORU33:ORV33"/>
    <mergeCell ref="ORW33:ORX33"/>
    <mergeCell ref="ORY33:ORZ33"/>
    <mergeCell ref="OSA33:OSB33"/>
    <mergeCell ref="OSC33:OSD33"/>
    <mergeCell ref="OUM33:OUN33"/>
    <mergeCell ref="OUO33:OUP33"/>
    <mergeCell ref="OUQ33:OUR33"/>
    <mergeCell ref="OUS33:OUT33"/>
    <mergeCell ref="OUU33:OUV33"/>
    <mergeCell ref="OUC33:OUD33"/>
    <mergeCell ref="OUE33:OUF33"/>
    <mergeCell ref="OUG33:OUH33"/>
    <mergeCell ref="OUI33:OUJ33"/>
    <mergeCell ref="OUK33:OUL33"/>
    <mergeCell ref="OTS33:OTT33"/>
    <mergeCell ref="OTU33:OTV33"/>
    <mergeCell ref="OTW33:OTX33"/>
    <mergeCell ref="OTY33:OTZ33"/>
    <mergeCell ref="OUA33:OUB33"/>
    <mergeCell ref="OTI33:OTJ33"/>
    <mergeCell ref="OTK33:OTL33"/>
    <mergeCell ref="OTM33:OTN33"/>
    <mergeCell ref="OTO33:OTP33"/>
    <mergeCell ref="OTQ33:OTR33"/>
    <mergeCell ref="OWA33:OWB33"/>
    <mergeCell ref="OWC33:OWD33"/>
    <mergeCell ref="OWE33:OWF33"/>
    <mergeCell ref="OWG33:OWH33"/>
    <mergeCell ref="OWI33:OWJ33"/>
    <mergeCell ref="OVQ33:OVR33"/>
    <mergeCell ref="OVS33:OVT33"/>
    <mergeCell ref="OVU33:OVV33"/>
    <mergeCell ref="OVW33:OVX33"/>
    <mergeCell ref="OVY33:OVZ33"/>
    <mergeCell ref="OVG33:OVH33"/>
    <mergeCell ref="OVI33:OVJ33"/>
    <mergeCell ref="OVK33:OVL33"/>
    <mergeCell ref="OVM33:OVN33"/>
    <mergeCell ref="OVO33:OVP33"/>
    <mergeCell ref="OUW33:OUX33"/>
    <mergeCell ref="OUY33:OUZ33"/>
    <mergeCell ref="OVA33:OVB33"/>
    <mergeCell ref="OVC33:OVD33"/>
    <mergeCell ref="OVE33:OVF33"/>
    <mergeCell ref="OXO33:OXP33"/>
    <mergeCell ref="OXQ33:OXR33"/>
    <mergeCell ref="OXS33:OXT33"/>
    <mergeCell ref="OXU33:OXV33"/>
    <mergeCell ref="OXW33:OXX33"/>
    <mergeCell ref="OXE33:OXF33"/>
    <mergeCell ref="OXG33:OXH33"/>
    <mergeCell ref="OXI33:OXJ33"/>
    <mergeCell ref="OXK33:OXL33"/>
    <mergeCell ref="OXM33:OXN33"/>
    <mergeCell ref="OWU33:OWV33"/>
    <mergeCell ref="OWW33:OWX33"/>
    <mergeCell ref="OWY33:OWZ33"/>
    <mergeCell ref="OXA33:OXB33"/>
    <mergeCell ref="OXC33:OXD33"/>
    <mergeCell ref="OWK33:OWL33"/>
    <mergeCell ref="OWM33:OWN33"/>
    <mergeCell ref="OWO33:OWP33"/>
    <mergeCell ref="OWQ33:OWR33"/>
    <mergeCell ref="OWS33:OWT33"/>
    <mergeCell ref="OZC33:OZD33"/>
    <mergeCell ref="OZE33:OZF33"/>
    <mergeCell ref="OZG33:OZH33"/>
    <mergeCell ref="OZI33:OZJ33"/>
    <mergeCell ref="OZK33:OZL33"/>
    <mergeCell ref="OYS33:OYT33"/>
    <mergeCell ref="OYU33:OYV33"/>
    <mergeCell ref="OYW33:OYX33"/>
    <mergeCell ref="OYY33:OYZ33"/>
    <mergeCell ref="OZA33:OZB33"/>
    <mergeCell ref="OYI33:OYJ33"/>
    <mergeCell ref="OYK33:OYL33"/>
    <mergeCell ref="OYM33:OYN33"/>
    <mergeCell ref="OYO33:OYP33"/>
    <mergeCell ref="OYQ33:OYR33"/>
    <mergeCell ref="OXY33:OXZ33"/>
    <mergeCell ref="OYA33:OYB33"/>
    <mergeCell ref="OYC33:OYD33"/>
    <mergeCell ref="OYE33:OYF33"/>
    <mergeCell ref="OYG33:OYH33"/>
    <mergeCell ref="PAQ33:PAR33"/>
    <mergeCell ref="PAS33:PAT33"/>
    <mergeCell ref="PAU33:PAV33"/>
    <mergeCell ref="PAW33:PAX33"/>
    <mergeCell ref="PAY33:PAZ33"/>
    <mergeCell ref="PAG33:PAH33"/>
    <mergeCell ref="PAI33:PAJ33"/>
    <mergeCell ref="PAK33:PAL33"/>
    <mergeCell ref="PAM33:PAN33"/>
    <mergeCell ref="PAO33:PAP33"/>
    <mergeCell ref="OZW33:OZX33"/>
    <mergeCell ref="OZY33:OZZ33"/>
    <mergeCell ref="PAA33:PAB33"/>
    <mergeCell ref="PAC33:PAD33"/>
    <mergeCell ref="PAE33:PAF33"/>
    <mergeCell ref="OZM33:OZN33"/>
    <mergeCell ref="OZO33:OZP33"/>
    <mergeCell ref="OZQ33:OZR33"/>
    <mergeCell ref="OZS33:OZT33"/>
    <mergeCell ref="OZU33:OZV33"/>
    <mergeCell ref="PCE33:PCF33"/>
    <mergeCell ref="PCG33:PCH33"/>
    <mergeCell ref="PCI33:PCJ33"/>
    <mergeCell ref="PCK33:PCL33"/>
    <mergeCell ref="PCM33:PCN33"/>
    <mergeCell ref="PBU33:PBV33"/>
    <mergeCell ref="PBW33:PBX33"/>
    <mergeCell ref="PBY33:PBZ33"/>
    <mergeCell ref="PCA33:PCB33"/>
    <mergeCell ref="PCC33:PCD33"/>
    <mergeCell ref="PBK33:PBL33"/>
    <mergeCell ref="PBM33:PBN33"/>
    <mergeCell ref="PBO33:PBP33"/>
    <mergeCell ref="PBQ33:PBR33"/>
    <mergeCell ref="PBS33:PBT33"/>
    <mergeCell ref="PBA33:PBB33"/>
    <mergeCell ref="PBC33:PBD33"/>
    <mergeCell ref="PBE33:PBF33"/>
    <mergeCell ref="PBG33:PBH33"/>
    <mergeCell ref="PBI33:PBJ33"/>
    <mergeCell ref="PDS33:PDT33"/>
    <mergeCell ref="PDU33:PDV33"/>
    <mergeCell ref="PDW33:PDX33"/>
    <mergeCell ref="PDY33:PDZ33"/>
    <mergeCell ref="PEA33:PEB33"/>
    <mergeCell ref="PDI33:PDJ33"/>
    <mergeCell ref="PDK33:PDL33"/>
    <mergeCell ref="PDM33:PDN33"/>
    <mergeCell ref="PDO33:PDP33"/>
    <mergeCell ref="PDQ33:PDR33"/>
    <mergeCell ref="PCY33:PCZ33"/>
    <mergeCell ref="PDA33:PDB33"/>
    <mergeCell ref="PDC33:PDD33"/>
    <mergeCell ref="PDE33:PDF33"/>
    <mergeCell ref="PDG33:PDH33"/>
    <mergeCell ref="PCO33:PCP33"/>
    <mergeCell ref="PCQ33:PCR33"/>
    <mergeCell ref="PCS33:PCT33"/>
    <mergeCell ref="PCU33:PCV33"/>
    <mergeCell ref="PCW33:PCX33"/>
    <mergeCell ref="PFG33:PFH33"/>
    <mergeCell ref="PFI33:PFJ33"/>
    <mergeCell ref="PFK33:PFL33"/>
    <mergeCell ref="PFM33:PFN33"/>
    <mergeCell ref="PFO33:PFP33"/>
    <mergeCell ref="PEW33:PEX33"/>
    <mergeCell ref="PEY33:PEZ33"/>
    <mergeCell ref="PFA33:PFB33"/>
    <mergeCell ref="PFC33:PFD33"/>
    <mergeCell ref="PFE33:PFF33"/>
    <mergeCell ref="PEM33:PEN33"/>
    <mergeCell ref="PEO33:PEP33"/>
    <mergeCell ref="PEQ33:PER33"/>
    <mergeCell ref="PES33:PET33"/>
    <mergeCell ref="PEU33:PEV33"/>
    <mergeCell ref="PEC33:PED33"/>
    <mergeCell ref="PEE33:PEF33"/>
    <mergeCell ref="PEG33:PEH33"/>
    <mergeCell ref="PEI33:PEJ33"/>
    <mergeCell ref="PEK33:PEL33"/>
    <mergeCell ref="PGU33:PGV33"/>
    <mergeCell ref="PGW33:PGX33"/>
    <mergeCell ref="PGY33:PGZ33"/>
    <mergeCell ref="PHA33:PHB33"/>
    <mergeCell ref="PHC33:PHD33"/>
    <mergeCell ref="PGK33:PGL33"/>
    <mergeCell ref="PGM33:PGN33"/>
    <mergeCell ref="PGO33:PGP33"/>
    <mergeCell ref="PGQ33:PGR33"/>
    <mergeCell ref="PGS33:PGT33"/>
    <mergeCell ref="PGA33:PGB33"/>
    <mergeCell ref="PGC33:PGD33"/>
    <mergeCell ref="PGE33:PGF33"/>
    <mergeCell ref="PGG33:PGH33"/>
    <mergeCell ref="PGI33:PGJ33"/>
    <mergeCell ref="PFQ33:PFR33"/>
    <mergeCell ref="PFS33:PFT33"/>
    <mergeCell ref="PFU33:PFV33"/>
    <mergeCell ref="PFW33:PFX33"/>
    <mergeCell ref="PFY33:PFZ33"/>
    <mergeCell ref="PII33:PIJ33"/>
    <mergeCell ref="PIK33:PIL33"/>
    <mergeCell ref="PIM33:PIN33"/>
    <mergeCell ref="PIO33:PIP33"/>
    <mergeCell ref="PIQ33:PIR33"/>
    <mergeCell ref="PHY33:PHZ33"/>
    <mergeCell ref="PIA33:PIB33"/>
    <mergeCell ref="PIC33:PID33"/>
    <mergeCell ref="PIE33:PIF33"/>
    <mergeCell ref="PIG33:PIH33"/>
    <mergeCell ref="PHO33:PHP33"/>
    <mergeCell ref="PHQ33:PHR33"/>
    <mergeCell ref="PHS33:PHT33"/>
    <mergeCell ref="PHU33:PHV33"/>
    <mergeCell ref="PHW33:PHX33"/>
    <mergeCell ref="PHE33:PHF33"/>
    <mergeCell ref="PHG33:PHH33"/>
    <mergeCell ref="PHI33:PHJ33"/>
    <mergeCell ref="PHK33:PHL33"/>
    <mergeCell ref="PHM33:PHN33"/>
    <mergeCell ref="PJW33:PJX33"/>
    <mergeCell ref="PJY33:PJZ33"/>
    <mergeCell ref="PKA33:PKB33"/>
    <mergeCell ref="PKC33:PKD33"/>
    <mergeCell ref="PKE33:PKF33"/>
    <mergeCell ref="PJM33:PJN33"/>
    <mergeCell ref="PJO33:PJP33"/>
    <mergeCell ref="PJQ33:PJR33"/>
    <mergeCell ref="PJS33:PJT33"/>
    <mergeCell ref="PJU33:PJV33"/>
    <mergeCell ref="PJC33:PJD33"/>
    <mergeCell ref="PJE33:PJF33"/>
    <mergeCell ref="PJG33:PJH33"/>
    <mergeCell ref="PJI33:PJJ33"/>
    <mergeCell ref="PJK33:PJL33"/>
    <mergeCell ref="PIS33:PIT33"/>
    <mergeCell ref="PIU33:PIV33"/>
    <mergeCell ref="PIW33:PIX33"/>
    <mergeCell ref="PIY33:PIZ33"/>
    <mergeCell ref="PJA33:PJB33"/>
    <mergeCell ref="PLK33:PLL33"/>
    <mergeCell ref="PLM33:PLN33"/>
    <mergeCell ref="PLO33:PLP33"/>
    <mergeCell ref="PLQ33:PLR33"/>
    <mergeCell ref="PLS33:PLT33"/>
    <mergeCell ref="PLA33:PLB33"/>
    <mergeCell ref="PLC33:PLD33"/>
    <mergeCell ref="PLE33:PLF33"/>
    <mergeCell ref="PLG33:PLH33"/>
    <mergeCell ref="PLI33:PLJ33"/>
    <mergeCell ref="PKQ33:PKR33"/>
    <mergeCell ref="PKS33:PKT33"/>
    <mergeCell ref="PKU33:PKV33"/>
    <mergeCell ref="PKW33:PKX33"/>
    <mergeCell ref="PKY33:PKZ33"/>
    <mergeCell ref="PKG33:PKH33"/>
    <mergeCell ref="PKI33:PKJ33"/>
    <mergeCell ref="PKK33:PKL33"/>
    <mergeCell ref="PKM33:PKN33"/>
    <mergeCell ref="PKO33:PKP33"/>
    <mergeCell ref="PMY33:PMZ33"/>
    <mergeCell ref="PNA33:PNB33"/>
    <mergeCell ref="PNC33:PND33"/>
    <mergeCell ref="PNE33:PNF33"/>
    <mergeCell ref="PNG33:PNH33"/>
    <mergeCell ref="PMO33:PMP33"/>
    <mergeCell ref="PMQ33:PMR33"/>
    <mergeCell ref="PMS33:PMT33"/>
    <mergeCell ref="PMU33:PMV33"/>
    <mergeCell ref="PMW33:PMX33"/>
    <mergeCell ref="PME33:PMF33"/>
    <mergeCell ref="PMG33:PMH33"/>
    <mergeCell ref="PMI33:PMJ33"/>
    <mergeCell ref="PMK33:PML33"/>
    <mergeCell ref="PMM33:PMN33"/>
    <mergeCell ref="PLU33:PLV33"/>
    <mergeCell ref="PLW33:PLX33"/>
    <mergeCell ref="PLY33:PLZ33"/>
    <mergeCell ref="PMA33:PMB33"/>
    <mergeCell ref="PMC33:PMD33"/>
    <mergeCell ref="POM33:PON33"/>
    <mergeCell ref="POO33:POP33"/>
    <mergeCell ref="POQ33:POR33"/>
    <mergeCell ref="POS33:POT33"/>
    <mergeCell ref="POU33:POV33"/>
    <mergeCell ref="POC33:POD33"/>
    <mergeCell ref="POE33:POF33"/>
    <mergeCell ref="POG33:POH33"/>
    <mergeCell ref="POI33:POJ33"/>
    <mergeCell ref="POK33:POL33"/>
    <mergeCell ref="PNS33:PNT33"/>
    <mergeCell ref="PNU33:PNV33"/>
    <mergeCell ref="PNW33:PNX33"/>
    <mergeCell ref="PNY33:PNZ33"/>
    <mergeCell ref="POA33:POB33"/>
    <mergeCell ref="PNI33:PNJ33"/>
    <mergeCell ref="PNK33:PNL33"/>
    <mergeCell ref="PNM33:PNN33"/>
    <mergeCell ref="PNO33:PNP33"/>
    <mergeCell ref="PNQ33:PNR33"/>
    <mergeCell ref="PQA33:PQB33"/>
    <mergeCell ref="PQC33:PQD33"/>
    <mergeCell ref="PQE33:PQF33"/>
    <mergeCell ref="PQG33:PQH33"/>
    <mergeCell ref="PQI33:PQJ33"/>
    <mergeCell ref="PPQ33:PPR33"/>
    <mergeCell ref="PPS33:PPT33"/>
    <mergeCell ref="PPU33:PPV33"/>
    <mergeCell ref="PPW33:PPX33"/>
    <mergeCell ref="PPY33:PPZ33"/>
    <mergeCell ref="PPG33:PPH33"/>
    <mergeCell ref="PPI33:PPJ33"/>
    <mergeCell ref="PPK33:PPL33"/>
    <mergeCell ref="PPM33:PPN33"/>
    <mergeCell ref="PPO33:PPP33"/>
    <mergeCell ref="POW33:POX33"/>
    <mergeCell ref="POY33:POZ33"/>
    <mergeCell ref="PPA33:PPB33"/>
    <mergeCell ref="PPC33:PPD33"/>
    <mergeCell ref="PPE33:PPF33"/>
    <mergeCell ref="PRO33:PRP33"/>
    <mergeCell ref="PRQ33:PRR33"/>
    <mergeCell ref="PRS33:PRT33"/>
    <mergeCell ref="PRU33:PRV33"/>
    <mergeCell ref="PRW33:PRX33"/>
    <mergeCell ref="PRE33:PRF33"/>
    <mergeCell ref="PRG33:PRH33"/>
    <mergeCell ref="PRI33:PRJ33"/>
    <mergeCell ref="PRK33:PRL33"/>
    <mergeCell ref="PRM33:PRN33"/>
    <mergeCell ref="PQU33:PQV33"/>
    <mergeCell ref="PQW33:PQX33"/>
    <mergeCell ref="PQY33:PQZ33"/>
    <mergeCell ref="PRA33:PRB33"/>
    <mergeCell ref="PRC33:PRD33"/>
    <mergeCell ref="PQK33:PQL33"/>
    <mergeCell ref="PQM33:PQN33"/>
    <mergeCell ref="PQO33:PQP33"/>
    <mergeCell ref="PQQ33:PQR33"/>
    <mergeCell ref="PQS33:PQT33"/>
    <mergeCell ref="PTC33:PTD33"/>
    <mergeCell ref="PTE33:PTF33"/>
    <mergeCell ref="PTG33:PTH33"/>
    <mergeCell ref="PTI33:PTJ33"/>
    <mergeCell ref="PTK33:PTL33"/>
    <mergeCell ref="PSS33:PST33"/>
    <mergeCell ref="PSU33:PSV33"/>
    <mergeCell ref="PSW33:PSX33"/>
    <mergeCell ref="PSY33:PSZ33"/>
    <mergeCell ref="PTA33:PTB33"/>
    <mergeCell ref="PSI33:PSJ33"/>
    <mergeCell ref="PSK33:PSL33"/>
    <mergeCell ref="PSM33:PSN33"/>
    <mergeCell ref="PSO33:PSP33"/>
    <mergeCell ref="PSQ33:PSR33"/>
    <mergeCell ref="PRY33:PRZ33"/>
    <mergeCell ref="PSA33:PSB33"/>
    <mergeCell ref="PSC33:PSD33"/>
    <mergeCell ref="PSE33:PSF33"/>
    <mergeCell ref="PSG33:PSH33"/>
    <mergeCell ref="PUQ33:PUR33"/>
    <mergeCell ref="PUS33:PUT33"/>
    <mergeCell ref="PUU33:PUV33"/>
    <mergeCell ref="PUW33:PUX33"/>
    <mergeCell ref="PUY33:PUZ33"/>
    <mergeCell ref="PUG33:PUH33"/>
    <mergeCell ref="PUI33:PUJ33"/>
    <mergeCell ref="PUK33:PUL33"/>
    <mergeCell ref="PUM33:PUN33"/>
    <mergeCell ref="PUO33:PUP33"/>
    <mergeCell ref="PTW33:PTX33"/>
    <mergeCell ref="PTY33:PTZ33"/>
    <mergeCell ref="PUA33:PUB33"/>
    <mergeCell ref="PUC33:PUD33"/>
    <mergeCell ref="PUE33:PUF33"/>
    <mergeCell ref="PTM33:PTN33"/>
    <mergeCell ref="PTO33:PTP33"/>
    <mergeCell ref="PTQ33:PTR33"/>
    <mergeCell ref="PTS33:PTT33"/>
    <mergeCell ref="PTU33:PTV33"/>
    <mergeCell ref="PWE33:PWF33"/>
    <mergeCell ref="PWG33:PWH33"/>
    <mergeCell ref="PWI33:PWJ33"/>
    <mergeCell ref="PWK33:PWL33"/>
    <mergeCell ref="PWM33:PWN33"/>
    <mergeCell ref="PVU33:PVV33"/>
    <mergeCell ref="PVW33:PVX33"/>
    <mergeCell ref="PVY33:PVZ33"/>
    <mergeCell ref="PWA33:PWB33"/>
    <mergeCell ref="PWC33:PWD33"/>
    <mergeCell ref="PVK33:PVL33"/>
    <mergeCell ref="PVM33:PVN33"/>
    <mergeCell ref="PVO33:PVP33"/>
    <mergeCell ref="PVQ33:PVR33"/>
    <mergeCell ref="PVS33:PVT33"/>
    <mergeCell ref="PVA33:PVB33"/>
    <mergeCell ref="PVC33:PVD33"/>
    <mergeCell ref="PVE33:PVF33"/>
    <mergeCell ref="PVG33:PVH33"/>
    <mergeCell ref="PVI33:PVJ33"/>
    <mergeCell ref="PXS33:PXT33"/>
    <mergeCell ref="PXU33:PXV33"/>
    <mergeCell ref="PXW33:PXX33"/>
    <mergeCell ref="PXY33:PXZ33"/>
    <mergeCell ref="PYA33:PYB33"/>
    <mergeCell ref="PXI33:PXJ33"/>
    <mergeCell ref="PXK33:PXL33"/>
    <mergeCell ref="PXM33:PXN33"/>
    <mergeCell ref="PXO33:PXP33"/>
    <mergeCell ref="PXQ33:PXR33"/>
    <mergeCell ref="PWY33:PWZ33"/>
    <mergeCell ref="PXA33:PXB33"/>
    <mergeCell ref="PXC33:PXD33"/>
    <mergeCell ref="PXE33:PXF33"/>
    <mergeCell ref="PXG33:PXH33"/>
    <mergeCell ref="PWO33:PWP33"/>
    <mergeCell ref="PWQ33:PWR33"/>
    <mergeCell ref="PWS33:PWT33"/>
    <mergeCell ref="PWU33:PWV33"/>
    <mergeCell ref="PWW33:PWX33"/>
    <mergeCell ref="PZG33:PZH33"/>
    <mergeCell ref="PZI33:PZJ33"/>
    <mergeCell ref="PZK33:PZL33"/>
    <mergeCell ref="PZM33:PZN33"/>
    <mergeCell ref="PZO33:PZP33"/>
    <mergeCell ref="PYW33:PYX33"/>
    <mergeCell ref="PYY33:PYZ33"/>
    <mergeCell ref="PZA33:PZB33"/>
    <mergeCell ref="PZC33:PZD33"/>
    <mergeCell ref="PZE33:PZF33"/>
    <mergeCell ref="PYM33:PYN33"/>
    <mergeCell ref="PYO33:PYP33"/>
    <mergeCell ref="PYQ33:PYR33"/>
    <mergeCell ref="PYS33:PYT33"/>
    <mergeCell ref="PYU33:PYV33"/>
    <mergeCell ref="PYC33:PYD33"/>
    <mergeCell ref="PYE33:PYF33"/>
    <mergeCell ref="PYG33:PYH33"/>
    <mergeCell ref="PYI33:PYJ33"/>
    <mergeCell ref="PYK33:PYL33"/>
    <mergeCell ref="QAU33:QAV33"/>
    <mergeCell ref="QAW33:QAX33"/>
    <mergeCell ref="QAY33:QAZ33"/>
    <mergeCell ref="QBA33:QBB33"/>
    <mergeCell ref="QBC33:QBD33"/>
    <mergeCell ref="QAK33:QAL33"/>
    <mergeCell ref="QAM33:QAN33"/>
    <mergeCell ref="QAO33:QAP33"/>
    <mergeCell ref="QAQ33:QAR33"/>
    <mergeCell ref="QAS33:QAT33"/>
    <mergeCell ref="QAA33:QAB33"/>
    <mergeCell ref="QAC33:QAD33"/>
    <mergeCell ref="QAE33:QAF33"/>
    <mergeCell ref="QAG33:QAH33"/>
    <mergeCell ref="QAI33:QAJ33"/>
    <mergeCell ref="PZQ33:PZR33"/>
    <mergeCell ref="PZS33:PZT33"/>
    <mergeCell ref="PZU33:PZV33"/>
    <mergeCell ref="PZW33:PZX33"/>
    <mergeCell ref="PZY33:PZZ33"/>
    <mergeCell ref="QCI33:QCJ33"/>
    <mergeCell ref="QCK33:QCL33"/>
    <mergeCell ref="QCM33:QCN33"/>
    <mergeCell ref="QCO33:QCP33"/>
    <mergeCell ref="QCQ33:QCR33"/>
    <mergeCell ref="QBY33:QBZ33"/>
    <mergeCell ref="QCA33:QCB33"/>
    <mergeCell ref="QCC33:QCD33"/>
    <mergeCell ref="QCE33:QCF33"/>
    <mergeCell ref="QCG33:QCH33"/>
    <mergeCell ref="QBO33:QBP33"/>
    <mergeCell ref="QBQ33:QBR33"/>
    <mergeCell ref="QBS33:QBT33"/>
    <mergeCell ref="QBU33:QBV33"/>
    <mergeCell ref="QBW33:QBX33"/>
    <mergeCell ref="QBE33:QBF33"/>
    <mergeCell ref="QBG33:QBH33"/>
    <mergeCell ref="QBI33:QBJ33"/>
    <mergeCell ref="QBK33:QBL33"/>
    <mergeCell ref="QBM33:QBN33"/>
    <mergeCell ref="QDW33:QDX33"/>
    <mergeCell ref="QDY33:QDZ33"/>
    <mergeCell ref="QEA33:QEB33"/>
    <mergeCell ref="QEC33:QED33"/>
    <mergeCell ref="QEE33:QEF33"/>
    <mergeCell ref="QDM33:QDN33"/>
    <mergeCell ref="QDO33:QDP33"/>
    <mergeCell ref="QDQ33:QDR33"/>
    <mergeCell ref="QDS33:QDT33"/>
    <mergeCell ref="QDU33:QDV33"/>
    <mergeCell ref="QDC33:QDD33"/>
    <mergeCell ref="QDE33:QDF33"/>
    <mergeCell ref="QDG33:QDH33"/>
    <mergeCell ref="QDI33:QDJ33"/>
    <mergeCell ref="QDK33:QDL33"/>
    <mergeCell ref="QCS33:QCT33"/>
    <mergeCell ref="QCU33:QCV33"/>
    <mergeCell ref="QCW33:QCX33"/>
    <mergeCell ref="QCY33:QCZ33"/>
    <mergeCell ref="QDA33:QDB33"/>
    <mergeCell ref="QFK33:QFL33"/>
    <mergeCell ref="QFM33:QFN33"/>
    <mergeCell ref="QFO33:QFP33"/>
    <mergeCell ref="QFQ33:QFR33"/>
    <mergeCell ref="QFS33:QFT33"/>
    <mergeCell ref="QFA33:QFB33"/>
    <mergeCell ref="QFC33:QFD33"/>
    <mergeCell ref="QFE33:QFF33"/>
    <mergeCell ref="QFG33:QFH33"/>
    <mergeCell ref="QFI33:QFJ33"/>
    <mergeCell ref="QEQ33:QER33"/>
    <mergeCell ref="QES33:QET33"/>
    <mergeCell ref="QEU33:QEV33"/>
    <mergeCell ref="QEW33:QEX33"/>
    <mergeCell ref="QEY33:QEZ33"/>
    <mergeCell ref="QEG33:QEH33"/>
    <mergeCell ref="QEI33:QEJ33"/>
    <mergeCell ref="QEK33:QEL33"/>
    <mergeCell ref="QEM33:QEN33"/>
    <mergeCell ref="QEO33:QEP33"/>
    <mergeCell ref="QGY33:QGZ33"/>
    <mergeCell ref="QHA33:QHB33"/>
    <mergeCell ref="QHC33:QHD33"/>
    <mergeCell ref="QHE33:QHF33"/>
    <mergeCell ref="QHG33:QHH33"/>
    <mergeCell ref="QGO33:QGP33"/>
    <mergeCell ref="QGQ33:QGR33"/>
    <mergeCell ref="QGS33:QGT33"/>
    <mergeCell ref="QGU33:QGV33"/>
    <mergeCell ref="QGW33:QGX33"/>
    <mergeCell ref="QGE33:QGF33"/>
    <mergeCell ref="QGG33:QGH33"/>
    <mergeCell ref="QGI33:QGJ33"/>
    <mergeCell ref="QGK33:QGL33"/>
    <mergeCell ref="QGM33:QGN33"/>
    <mergeCell ref="QFU33:QFV33"/>
    <mergeCell ref="QFW33:QFX33"/>
    <mergeCell ref="QFY33:QFZ33"/>
    <mergeCell ref="QGA33:QGB33"/>
    <mergeCell ref="QGC33:QGD33"/>
    <mergeCell ref="QIM33:QIN33"/>
    <mergeCell ref="QIO33:QIP33"/>
    <mergeCell ref="QIQ33:QIR33"/>
    <mergeCell ref="QIS33:QIT33"/>
    <mergeCell ref="QIU33:QIV33"/>
    <mergeCell ref="QIC33:QID33"/>
    <mergeCell ref="QIE33:QIF33"/>
    <mergeCell ref="QIG33:QIH33"/>
    <mergeCell ref="QII33:QIJ33"/>
    <mergeCell ref="QIK33:QIL33"/>
    <mergeCell ref="QHS33:QHT33"/>
    <mergeCell ref="QHU33:QHV33"/>
    <mergeCell ref="QHW33:QHX33"/>
    <mergeCell ref="QHY33:QHZ33"/>
    <mergeCell ref="QIA33:QIB33"/>
    <mergeCell ref="QHI33:QHJ33"/>
    <mergeCell ref="QHK33:QHL33"/>
    <mergeCell ref="QHM33:QHN33"/>
    <mergeCell ref="QHO33:QHP33"/>
    <mergeCell ref="QHQ33:QHR33"/>
    <mergeCell ref="QKA33:QKB33"/>
    <mergeCell ref="QKC33:QKD33"/>
    <mergeCell ref="QKE33:QKF33"/>
    <mergeCell ref="QKG33:QKH33"/>
    <mergeCell ref="QKI33:QKJ33"/>
    <mergeCell ref="QJQ33:QJR33"/>
    <mergeCell ref="QJS33:QJT33"/>
    <mergeCell ref="QJU33:QJV33"/>
    <mergeCell ref="QJW33:QJX33"/>
    <mergeCell ref="QJY33:QJZ33"/>
    <mergeCell ref="QJG33:QJH33"/>
    <mergeCell ref="QJI33:QJJ33"/>
    <mergeCell ref="QJK33:QJL33"/>
    <mergeCell ref="QJM33:QJN33"/>
    <mergeCell ref="QJO33:QJP33"/>
    <mergeCell ref="QIW33:QIX33"/>
    <mergeCell ref="QIY33:QIZ33"/>
    <mergeCell ref="QJA33:QJB33"/>
    <mergeCell ref="QJC33:QJD33"/>
    <mergeCell ref="QJE33:QJF33"/>
    <mergeCell ref="QLO33:QLP33"/>
    <mergeCell ref="QLQ33:QLR33"/>
    <mergeCell ref="QLS33:QLT33"/>
    <mergeCell ref="QLU33:QLV33"/>
    <mergeCell ref="QLW33:QLX33"/>
    <mergeCell ref="QLE33:QLF33"/>
    <mergeCell ref="QLG33:QLH33"/>
    <mergeCell ref="QLI33:QLJ33"/>
    <mergeCell ref="QLK33:QLL33"/>
    <mergeCell ref="QLM33:QLN33"/>
    <mergeCell ref="QKU33:QKV33"/>
    <mergeCell ref="QKW33:QKX33"/>
    <mergeCell ref="QKY33:QKZ33"/>
    <mergeCell ref="QLA33:QLB33"/>
    <mergeCell ref="QLC33:QLD33"/>
    <mergeCell ref="QKK33:QKL33"/>
    <mergeCell ref="QKM33:QKN33"/>
    <mergeCell ref="QKO33:QKP33"/>
    <mergeCell ref="QKQ33:QKR33"/>
    <mergeCell ref="QKS33:QKT33"/>
    <mergeCell ref="QNC33:QND33"/>
    <mergeCell ref="QNE33:QNF33"/>
    <mergeCell ref="QNG33:QNH33"/>
    <mergeCell ref="QNI33:QNJ33"/>
    <mergeCell ref="QNK33:QNL33"/>
    <mergeCell ref="QMS33:QMT33"/>
    <mergeCell ref="QMU33:QMV33"/>
    <mergeCell ref="QMW33:QMX33"/>
    <mergeCell ref="QMY33:QMZ33"/>
    <mergeCell ref="QNA33:QNB33"/>
    <mergeCell ref="QMI33:QMJ33"/>
    <mergeCell ref="QMK33:QML33"/>
    <mergeCell ref="QMM33:QMN33"/>
    <mergeCell ref="QMO33:QMP33"/>
    <mergeCell ref="QMQ33:QMR33"/>
    <mergeCell ref="QLY33:QLZ33"/>
    <mergeCell ref="QMA33:QMB33"/>
    <mergeCell ref="QMC33:QMD33"/>
    <mergeCell ref="QME33:QMF33"/>
    <mergeCell ref="QMG33:QMH33"/>
    <mergeCell ref="QOQ33:QOR33"/>
    <mergeCell ref="QOS33:QOT33"/>
    <mergeCell ref="QOU33:QOV33"/>
    <mergeCell ref="QOW33:QOX33"/>
    <mergeCell ref="QOY33:QOZ33"/>
    <mergeCell ref="QOG33:QOH33"/>
    <mergeCell ref="QOI33:QOJ33"/>
    <mergeCell ref="QOK33:QOL33"/>
    <mergeCell ref="QOM33:QON33"/>
    <mergeCell ref="QOO33:QOP33"/>
    <mergeCell ref="QNW33:QNX33"/>
    <mergeCell ref="QNY33:QNZ33"/>
    <mergeCell ref="QOA33:QOB33"/>
    <mergeCell ref="QOC33:QOD33"/>
    <mergeCell ref="QOE33:QOF33"/>
    <mergeCell ref="QNM33:QNN33"/>
    <mergeCell ref="QNO33:QNP33"/>
    <mergeCell ref="QNQ33:QNR33"/>
    <mergeCell ref="QNS33:QNT33"/>
    <mergeCell ref="QNU33:QNV33"/>
    <mergeCell ref="QQE33:QQF33"/>
    <mergeCell ref="QQG33:QQH33"/>
    <mergeCell ref="QQI33:QQJ33"/>
    <mergeCell ref="QQK33:QQL33"/>
    <mergeCell ref="QQM33:QQN33"/>
    <mergeCell ref="QPU33:QPV33"/>
    <mergeCell ref="QPW33:QPX33"/>
    <mergeCell ref="QPY33:QPZ33"/>
    <mergeCell ref="QQA33:QQB33"/>
    <mergeCell ref="QQC33:QQD33"/>
    <mergeCell ref="QPK33:QPL33"/>
    <mergeCell ref="QPM33:QPN33"/>
    <mergeCell ref="QPO33:QPP33"/>
    <mergeCell ref="QPQ33:QPR33"/>
    <mergeCell ref="QPS33:QPT33"/>
    <mergeCell ref="QPA33:QPB33"/>
    <mergeCell ref="QPC33:QPD33"/>
    <mergeCell ref="QPE33:QPF33"/>
    <mergeCell ref="QPG33:QPH33"/>
    <mergeCell ref="QPI33:QPJ33"/>
    <mergeCell ref="QRS33:QRT33"/>
    <mergeCell ref="QRU33:QRV33"/>
    <mergeCell ref="QRW33:QRX33"/>
    <mergeCell ref="QRY33:QRZ33"/>
    <mergeCell ref="QSA33:QSB33"/>
    <mergeCell ref="QRI33:QRJ33"/>
    <mergeCell ref="QRK33:QRL33"/>
    <mergeCell ref="QRM33:QRN33"/>
    <mergeCell ref="QRO33:QRP33"/>
    <mergeCell ref="QRQ33:QRR33"/>
    <mergeCell ref="QQY33:QQZ33"/>
    <mergeCell ref="QRA33:QRB33"/>
    <mergeCell ref="QRC33:QRD33"/>
    <mergeCell ref="QRE33:QRF33"/>
    <mergeCell ref="QRG33:QRH33"/>
    <mergeCell ref="QQO33:QQP33"/>
    <mergeCell ref="QQQ33:QQR33"/>
    <mergeCell ref="QQS33:QQT33"/>
    <mergeCell ref="QQU33:QQV33"/>
    <mergeCell ref="QQW33:QQX33"/>
    <mergeCell ref="QTG33:QTH33"/>
    <mergeCell ref="QTI33:QTJ33"/>
    <mergeCell ref="QTK33:QTL33"/>
    <mergeCell ref="QTM33:QTN33"/>
    <mergeCell ref="QTO33:QTP33"/>
    <mergeCell ref="QSW33:QSX33"/>
    <mergeCell ref="QSY33:QSZ33"/>
    <mergeCell ref="QTA33:QTB33"/>
    <mergeCell ref="QTC33:QTD33"/>
    <mergeCell ref="QTE33:QTF33"/>
    <mergeCell ref="QSM33:QSN33"/>
    <mergeCell ref="QSO33:QSP33"/>
    <mergeCell ref="QSQ33:QSR33"/>
    <mergeCell ref="QSS33:QST33"/>
    <mergeCell ref="QSU33:QSV33"/>
    <mergeCell ref="QSC33:QSD33"/>
    <mergeCell ref="QSE33:QSF33"/>
    <mergeCell ref="QSG33:QSH33"/>
    <mergeCell ref="QSI33:QSJ33"/>
    <mergeCell ref="QSK33:QSL33"/>
    <mergeCell ref="QUU33:QUV33"/>
    <mergeCell ref="QUW33:QUX33"/>
    <mergeCell ref="QUY33:QUZ33"/>
    <mergeCell ref="QVA33:QVB33"/>
    <mergeCell ref="QVC33:QVD33"/>
    <mergeCell ref="QUK33:QUL33"/>
    <mergeCell ref="QUM33:QUN33"/>
    <mergeCell ref="QUO33:QUP33"/>
    <mergeCell ref="QUQ33:QUR33"/>
    <mergeCell ref="QUS33:QUT33"/>
    <mergeCell ref="QUA33:QUB33"/>
    <mergeCell ref="QUC33:QUD33"/>
    <mergeCell ref="QUE33:QUF33"/>
    <mergeCell ref="QUG33:QUH33"/>
    <mergeCell ref="QUI33:QUJ33"/>
    <mergeCell ref="QTQ33:QTR33"/>
    <mergeCell ref="QTS33:QTT33"/>
    <mergeCell ref="QTU33:QTV33"/>
    <mergeCell ref="QTW33:QTX33"/>
    <mergeCell ref="QTY33:QTZ33"/>
    <mergeCell ref="QWI33:QWJ33"/>
    <mergeCell ref="QWK33:QWL33"/>
    <mergeCell ref="QWM33:QWN33"/>
    <mergeCell ref="QWO33:QWP33"/>
    <mergeCell ref="QWQ33:QWR33"/>
    <mergeCell ref="QVY33:QVZ33"/>
    <mergeCell ref="QWA33:QWB33"/>
    <mergeCell ref="QWC33:QWD33"/>
    <mergeCell ref="QWE33:QWF33"/>
    <mergeCell ref="QWG33:QWH33"/>
    <mergeCell ref="QVO33:QVP33"/>
    <mergeCell ref="QVQ33:QVR33"/>
    <mergeCell ref="QVS33:QVT33"/>
    <mergeCell ref="QVU33:QVV33"/>
    <mergeCell ref="QVW33:QVX33"/>
    <mergeCell ref="QVE33:QVF33"/>
    <mergeCell ref="QVG33:QVH33"/>
    <mergeCell ref="QVI33:QVJ33"/>
    <mergeCell ref="QVK33:QVL33"/>
    <mergeCell ref="QVM33:QVN33"/>
    <mergeCell ref="QXW33:QXX33"/>
    <mergeCell ref="QXY33:QXZ33"/>
    <mergeCell ref="QYA33:QYB33"/>
    <mergeCell ref="QYC33:QYD33"/>
    <mergeCell ref="QYE33:QYF33"/>
    <mergeCell ref="QXM33:QXN33"/>
    <mergeCell ref="QXO33:QXP33"/>
    <mergeCell ref="QXQ33:QXR33"/>
    <mergeCell ref="QXS33:QXT33"/>
    <mergeCell ref="QXU33:QXV33"/>
    <mergeCell ref="QXC33:QXD33"/>
    <mergeCell ref="QXE33:QXF33"/>
    <mergeCell ref="QXG33:QXH33"/>
    <mergeCell ref="QXI33:QXJ33"/>
    <mergeCell ref="QXK33:QXL33"/>
    <mergeCell ref="QWS33:QWT33"/>
    <mergeCell ref="QWU33:QWV33"/>
    <mergeCell ref="QWW33:QWX33"/>
    <mergeCell ref="QWY33:QWZ33"/>
    <mergeCell ref="QXA33:QXB33"/>
    <mergeCell ref="QZK33:QZL33"/>
    <mergeCell ref="QZM33:QZN33"/>
    <mergeCell ref="QZO33:QZP33"/>
    <mergeCell ref="QZQ33:QZR33"/>
    <mergeCell ref="QZS33:QZT33"/>
    <mergeCell ref="QZA33:QZB33"/>
    <mergeCell ref="QZC33:QZD33"/>
    <mergeCell ref="QZE33:QZF33"/>
    <mergeCell ref="QZG33:QZH33"/>
    <mergeCell ref="QZI33:QZJ33"/>
    <mergeCell ref="QYQ33:QYR33"/>
    <mergeCell ref="QYS33:QYT33"/>
    <mergeCell ref="QYU33:QYV33"/>
    <mergeCell ref="QYW33:QYX33"/>
    <mergeCell ref="QYY33:QYZ33"/>
    <mergeCell ref="QYG33:QYH33"/>
    <mergeCell ref="QYI33:QYJ33"/>
    <mergeCell ref="QYK33:QYL33"/>
    <mergeCell ref="QYM33:QYN33"/>
    <mergeCell ref="QYO33:QYP33"/>
    <mergeCell ref="RAY33:RAZ33"/>
    <mergeCell ref="RBA33:RBB33"/>
    <mergeCell ref="RBC33:RBD33"/>
    <mergeCell ref="RBE33:RBF33"/>
    <mergeCell ref="RBG33:RBH33"/>
    <mergeCell ref="RAO33:RAP33"/>
    <mergeCell ref="RAQ33:RAR33"/>
    <mergeCell ref="RAS33:RAT33"/>
    <mergeCell ref="RAU33:RAV33"/>
    <mergeCell ref="RAW33:RAX33"/>
    <mergeCell ref="RAE33:RAF33"/>
    <mergeCell ref="RAG33:RAH33"/>
    <mergeCell ref="RAI33:RAJ33"/>
    <mergeCell ref="RAK33:RAL33"/>
    <mergeCell ref="RAM33:RAN33"/>
    <mergeCell ref="QZU33:QZV33"/>
    <mergeCell ref="QZW33:QZX33"/>
    <mergeCell ref="QZY33:QZZ33"/>
    <mergeCell ref="RAA33:RAB33"/>
    <mergeCell ref="RAC33:RAD33"/>
    <mergeCell ref="RCM33:RCN33"/>
    <mergeCell ref="RCO33:RCP33"/>
    <mergeCell ref="RCQ33:RCR33"/>
    <mergeCell ref="RCS33:RCT33"/>
    <mergeCell ref="RCU33:RCV33"/>
    <mergeCell ref="RCC33:RCD33"/>
    <mergeCell ref="RCE33:RCF33"/>
    <mergeCell ref="RCG33:RCH33"/>
    <mergeCell ref="RCI33:RCJ33"/>
    <mergeCell ref="RCK33:RCL33"/>
    <mergeCell ref="RBS33:RBT33"/>
    <mergeCell ref="RBU33:RBV33"/>
    <mergeCell ref="RBW33:RBX33"/>
    <mergeCell ref="RBY33:RBZ33"/>
    <mergeCell ref="RCA33:RCB33"/>
    <mergeCell ref="RBI33:RBJ33"/>
    <mergeCell ref="RBK33:RBL33"/>
    <mergeCell ref="RBM33:RBN33"/>
    <mergeCell ref="RBO33:RBP33"/>
    <mergeCell ref="RBQ33:RBR33"/>
    <mergeCell ref="REA33:REB33"/>
    <mergeCell ref="REC33:RED33"/>
    <mergeCell ref="REE33:REF33"/>
    <mergeCell ref="REG33:REH33"/>
    <mergeCell ref="REI33:REJ33"/>
    <mergeCell ref="RDQ33:RDR33"/>
    <mergeCell ref="RDS33:RDT33"/>
    <mergeCell ref="RDU33:RDV33"/>
    <mergeCell ref="RDW33:RDX33"/>
    <mergeCell ref="RDY33:RDZ33"/>
    <mergeCell ref="RDG33:RDH33"/>
    <mergeCell ref="RDI33:RDJ33"/>
    <mergeCell ref="RDK33:RDL33"/>
    <mergeCell ref="RDM33:RDN33"/>
    <mergeCell ref="RDO33:RDP33"/>
    <mergeCell ref="RCW33:RCX33"/>
    <mergeCell ref="RCY33:RCZ33"/>
    <mergeCell ref="RDA33:RDB33"/>
    <mergeCell ref="RDC33:RDD33"/>
    <mergeCell ref="RDE33:RDF33"/>
    <mergeCell ref="RFO33:RFP33"/>
    <mergeCell ref="RFQ33:RFR33"/>
    <mergeCell ref="RFS33:RFT33"/>
    <mergeCell ref="RFU33:RFV33"/>
    <mergeCell ref="RFW33:RFX33"/>
    <mergeCell ref="RFE33:RFF33"/>
    <mergeCell ref="RFG33:RFH33"/>
    <mergeCell ref="RFI33:RFJ33"/>
    <mergeCell ref="RFK33:RFL33"/>
    <mergeCell ref="RFM33:RFN33"/>
    <mergeCell ref="REU33:REV33"/>
    <mergeCell ref="REW33:REX33"/>
    <mergeCell ref="REY33:REZ33"/>
    <mergeCell ref="RFA33:RFB33"/>
    <mergeCell ref="RFC33:RFD33"/>
    <mergeCell ref="REK33:REL33"/>
    <mergeCell ref="REM33:REN33"/>
    <mergeCell ref="REO33:REP33"/>
    <mergeCell ref="REQ33:RER33"/>
    <mergeCell ref="RES33:RET33"/>
    <mergeCell ref="RHC33:RHD33"/>
    <mergeCell ref="RHE33:RHF33"/>
    <mergeCell ref="RHG33:RHH33"/>
    <mergeCell ref="RHI33:RHJ33"/>
    <mergeCell ref="RHK33:RHL33"/>
    <mergeCell ref="RGS33:RGT33"/>
    <mergeCell ref="RGU33:RGV33"/>
    <mergeCell ref="RGW33:RGX33"/>
    <mergeCell ref="RGY33:RGZ33"/>
    <mergeCell ref="RHA33:RHB33"/>
    <mergeCell ref="RGI33:RGJ33"/>
    <mergeCell ref="RGK33:RGL33"/>
    <mergeCell ref="RGM33:RGN33"/>
    <mergeCell ref="RGO33:RGP33"/>
    <mergeCell ref="RGQ33:RGR33"/>
    <mergeCell ref="RFY33:RFZ33"/>
    <mergeCell ref="RGA33:RGB33"/>
    <mergeCell ref="RGC33:RGD33"/>
    <mergeCell ref="RGE33:RGF33"/>
    <mergeCell ref="RGG33:RGH33"/>
    <mergeCell ref="RIQ33:RIR33"/>
    <mergeCell ref="RIS33:RIT33"/>
    <mergeCell ref="RIU33:RIV33"/>
    <mergeCell ref="RIW33:RIX33"/>
    <mergeCell ref="RIY33:RIZ33"/>
    <mergeCell ref="RIG33:RIH33"/>
    <mergeCell ref="RII33:RIJ33"/>
    <mergeCell ref="RIK33:RIL33"/>
    <mergeCell ref="RIM33:RIN33"/>
    <mergeCell ref="RIO33:RIP33"/>
    <mergeCell ref="RHW33:RHX33"/>
    <mergeCell ref="RHY33:RHZ33"/>
    <mergeCell ref="RIA33:RIB33"/>
    <mergeCell ref="RIC33:RID33"/>
    <mergeCell ref="RIE33:RIF33"/>
    <mergeCell ref="RHM33:RHN33"/>
    <mergeCell ref="RHO33:RHP33"/>
    <mergeCell ref="RHQ33:RHR33"/>
    <mergeCell ref="RHS33:RHT33"/>
    <mergeCell ref="RHU33:RHV33"/>
    <mergeCell ref="RKE33:RKF33"/>
    <mergeCell ref="RKG33:RKH33"/>
    <mergeCell ref="RKI33:RKJ33"/>
    <mergeCell ref="RKK33:RKL33"/>
    <mergeCell ref="RKM33:RKN33"/>
    <mergeCell ref="RJU33:RJV33"/>
    <mergeCell ref="RJW33:RJX33"/>
    <mergeCell ref="RJY33:RJZ33"/>
    <mergeCell ref="RKA33:RKB33"/>
    <mergeCell ref="RKC33:RKD33"/>
    <mergeCell ref="RJK33:RJL33"/>
    <mergeCell ref="RJM33:RJN33"/>
    <mergeCell ref="RJO33:RJP33"/>
    <mergeCell ref="RJQ33:RJR33"/>
    <mergeCell ref="RJS33:RJT33"/>
    <mergeCell ref="RJA33:RJB33"/>
    <mergeCell ref="RJC33:RJD33"/>
    <mergeCell ref="RJE33:RJF33"/>
    <mergeCell ref="RJG33:RJH33"/>
    <mergeCell ref="RJI33:RJJ33"/>
    <mergeCell ref="RLS33:RLT33"/>
    <mergeCell ref="RLU33:RLV33"/>
    <mergeCell ref="RLW33:RLX33"/>
    <mergeCell ref="RLY33:RLZ33"/>
    <mergeCell ref="RMA33:RMB33"/>
    <mergeCell ref="RLI33:RLJ33"/>
    <mergeCell ref="RLK33:RLL33"/>
    <mergeCell ref="RLM33:RLN33"/>
    <mergeCell ref="RLO33:RLP33"/>
    <mergeCell ref="RLQ33:RLR33"/>
    <mergeCell ref="RKY33:RKZ33"/>
    <mergeCell ref="RLA33:RLB33"/>
    <mergeCell ref="RLC33:RLD33"/>
    <mergeCell ref="RLE33:RLF33"/>
    <mergeCell ref="RLG33:RLH33"/>
    <mergeCell ref="RKO33:RKP33"/>
    <mergeCell ref="RKQ33:RKR33"/>
    <mergeCell ref="RKS33:RKT33"/>
    <mergeCell ref="RKU33:RKV33"/>
    <mergeCell ref="RKW33:RKX33"/>
    <mergeCell ref="RNG33:RNH33"/>
    <mergeCell ref="RNI33:RNJ33"/>
    <mergeCell ref="RNK33:RNL33"/>
    <mergeCell ref="RNM33:RNN33"/>
    <mergeCell ref="RNO33:RNP33"/>
    <mergeCell ref="RMW33:RMX33"/>
    <mergeCell ref="RMY33:RMZ33"/>
    <mergeCell ref="RNA33:RNB33"/>
    <mergeCell ref="RNC33:RND33"/>
    <mergeCell ref="RNE33:RNF33"/>
    <mergeCell ref="RMM33:RMN33"/>
    <mergeCell ref="RMO33:RMP33"/>
    <mergeCell ref="RMQ33:RMR33"/>
    <mergeCell ref="RMS33:RMT33"/>
    <mergeCell ref="RMU33:RMV33"/>
    <mergeCell ref="RMC33:RMD33"/>
    <mergeCell ref="RME33:RMF33"/>
    <mergeCell ref="RMG33:RMH33"/>
    <mergeCell ref="RMI33:RMJ33"/>
    <mergeCell ref="RMK33:RML33"/>
    <mergeCell ref="ROU33:ROV33"/>
    <mergeCell ref="ROW33:ROX33"/>
    <mergeCell ref="ROY33:ROZ33"/>
    <mergeCell ref="RPA33:RPB33"/>
    <mergeCell ref="RPC33:RPD33"/>
    <mergeCell ref="ROK33:ROL33"/>
    <mergeCell ref="ROM33:RON33"/>
    <mergeCell ref="ROO33:ROP33"/>
    <mergeCell ref="ROQ33:ROR33"/>
    <mergeCell ref="ROS33:ROT33"/>
    <mergeCell ref="ROA33:ROB33"/>
    <mergeCell ref="ROC33:ROD33"/>
    <mergeCell ref="ROE33:ROF33"/>
    <mergeCell ref="ROG33:ROH33"/>
    <mergeCell ref="ROI33:ROJ33"/>
    <mergeCell ref="RNQ33:RNR33"/>
    <mergeCell ref="RNS33:RNT33"/>
    <mergeCell ref="RNU33:RNV33"/>
    <mergeCell ref="RNW33:RNX33"/>
    <mergeCell ref="RNY33:RNZ33"/>
    <mergeCell ref="RQI33:RQJ33"/>
    <mergeCell ref="RQK33:RQL33"/>
    <mergeCell ref="RQM33:RQN33"/>
    <mergeCell ref="RQO33:RQP33"/>
    <mergeCell ref="RQQ33:RQR33"/>
    <mergeCell ref="RPY33:RPZ33"/>
    <mergeCell ref="RQA33:RQB33"/>
    <mergeCell ref="RQC33:RQD33"/>
    <mergeCell ref="RQE33:RQF33"/>
    <mergeCell ref="RQG33:RQH33"/>
    <mergeCell ref="RPO33:RPP33"/>
    <mergeCell ref="RPQ33:RPR33"/>
    <mergeCell ref="RPS33:RPT33"/>
    <mergeCell ref="RPU33:RPV33"/>
    <mergeCell ref="RPW33:RPX33"/>
    <mergeCell ref="RPE33:RPF33"/>
    <mergeCell ref="RPG33:RPH33"/>
    <mergeCell ref="RPI33:RPJ33"/>
    <mergeCell ref="RPK33:RPL33"/>
    <mergeCell ref="RPM33:RPN33"/>
    <mergeCell ref="RRW33:RRX33"/>
    <mergeCell ref="RRY33:RRZ33"/>
    <mergeCell ref="RSA33:RSB33"/>
    <mergeCell ref="RSC33:RSD33"/>
    <mergeCell ref="RSE33:RSF33"/>
    <mergeCell ref="RRM33:RRN33"/>
    <mergeCell ref="RRO33:RRP33"/>
    <mergeCell ref="RRQ33:RRR33"/>
    <mergeCell ref="RRS33:RRT33"/>
    <mergeCell ref="RRU33:RRV33"/>
    <mergeCell ref="RRC33:RRD33"/>
    <mergeCell ref="RRE33:RRF33"/>
    <mergeCell ref="RRG33:RRH33"/>
    <mergeCell ref="RRI33:RRJ33"/>
    <mergeCell ref="RRK33:RRL33"/>
    <mergeCell ref="RQS33:RQT33"/>
    <mergeCell ref="RQU33:RQV33"/>
    <mergeCell ref="RQW33:RQX33"/>
    <mergeCell ref="RQY33:RQZ33"/>
    <mergeCell ref="RRA33:RRB33"/>
    <mergeCell ref="RTK33:RTL33"/>
    <mergeCell ref="RTM33:RTN33"/>
    <mergeCell ref="RTO33:RTP33"/>
    <mergeCell ref="RTQ33:RTR33"/>
    <mergeCell ref="RTS33:RTT33"/>
    <mergeCell ref="RTA33:RTB33"/>
    <mergeCell ref="RTC33:RTD33"/>
    <mergeCell ref="RTE33:RTF33"/>
    <mergeCell ref="RTG33:RTH33"/>
    <mergeCell ref="RTI33:RTJ33"/>
    <mergeCell ref="RSQ33:RSR33"/>
    <mergeCell ref="RSS33:RST33"/>
    <mergeCell ref="RSU33:RSV33"/>
    <mergeCell ref="RSW33:RSX33"/>
    <mergeCell ref="RSY33:RSZ33"/>
    <mergeCell ref="RSG33:RSH33"/>
    <mergeCell ref="RSI33:RSJ33"/>
    <mergeCell ref="RSK33:RSL33"/>
    <mergeCell ref="RSM33:RSN33"/>
    <mergeCell ref="RSO33:RSP33"/>
    <mergeCell ref="RUY33:RUZ33"/>
    <mergeCell ref="RVA33:RVB33"/>
    <mergeCell ref="RVC33:RVD33"/>
    <mergeCell ref="RVE33:RVF33"/>
    <mergeCell ref="RVG33:RVH33"/>
    <mergeCell ref="RUO33:RUP33"/>
    <mergeCell ref="RUQ33:RUR33"/>
    <mergeCell ref="RUS33:RUT33"/>
    <mergeCell ref="RUU33:RUV33"/>
    <mergeCell ref="RUW33:RUX33"/>
    <mergeCell ref="RUE33:RUF33"/>
    <mergeCell ref="RUG33:RUH33"/>
    <mergeCell ref="RUI33:RUJ33"/>
    <mergeCell ref="RUK33:RUL33"/>
    <mergeCell ref="RUM33:RUN33"/>
    <mergeCell ref="RTU33:RTV33"/>
    <mergeCell ref="RTW33:RTX33"/>
    <mergeCell ref="RTY33:RTZ33"/>
    <mergeCell ref="RUA33:RUB33"/>
    <mergeCell ref="RUC33:RUD33"/>
    <mergeCell ref="RWM33:RWN33"/>
    <mergeCell ref="RWO33:RWP33"/>
    <mergeCell ref="RWQ33:RWR33"/>
    <mergeCell ref="RWS33:RWT33"/>
    <mergeCell ref="RWU33:RWV33"/>
    <mergeCell ref="RWC33:RWD33"/>
    <mergeCell ref="RWE33:RWF33"/>
    <mergeCell ref="RWG33:RWH33"/>
    <mergeCell ref="RWI33:RWJ33"/>
    <mergeCell ref="RWK33:RWL33"/>
    <mergeCell ref="RVS33:RVT33"/>
    <mergeCell ref="RVU33:RVV33"/>
    <mergeCell ref="RVW33:RVX33"/>
    <mergeCell ref="RVY33:RVZ33"/>
    <mergeCell ref="RWA33:RWB33"/>
    <mergeCell ref="RVI33:RVJ33"/>
    <mergeCell ref="RVK33:RVL33"/>
    <mergeCell ref="RVM33:RVN33"/>
    <mergeCell ref="RVO33:RVP33"/>
    <mergeCell ref="RVQ33:RVR33"/>
    <mergeCell ref="RYA33:RYB33"/>
    <mergeCell ref="RYC33:RYD33"/>
    <mergeCell ref="RYE33:RYF33"/>
    <mergeCell ref="RYG33:RYH33"/>
    <mergeCell ref="RYI33:RYJ33"/>
    <mergeCell ref="RXQ33:RXR33"/>
    <mergeCell ref="RXS33:RXT33"/>
    <mergeCell ref="RXU33:RXV33"/>
    <mergeCell ref="RXW33:RXX33"/>
    <mergeCell ref="RXY33:RXZ33"/>
    <mergeCell ref="RXG33:RXH33"/>
    <mergeCell ref="RXI33:RXJ33"/>
    <mergeCell ref="RXK33:RXL33"/>
    <mergeCell ref="RXM33:RXN33"/>
    <mergeCell ref="RXO33:RXP33"/>
    <mergeCell ref="RWW33:RWX33"/>
    <mergeCell ref="RWY33:RWZ33"/>
    <mergeCell ref="RXA33:RXB33"/>
    <mergeCell ref="RXC33:RXD33"/>
    <mergeCell ref="RXE33:RXF33"/>
    <mergeCell ref="RZO33:RZP33"/>
    <mergeCell ref="RZQ33:RZR33"/>
    <mergeCell ref="RZS33:RZT33"/>
    <mergeCell ref="RZU33:RZV33"/>
    <mergeCell ref="RZW33:RZX33"/>
    <mergeCell ref="RZE33:RZF33"/>
    <mergeCell ref="RZG33:RZH33"/>
    <mergeCell ref="RZI33:RZJ33"/>
    <mergeCell ref="RZK33:RZL33"/>
    <mergeCell ref="RZM33:RZN33"/>
    <mergeCell ref="RYU33:RYV33"/>
    <mergeCell ref="RYW33:RYX33"/>
    <mergeCell ref="RYY33:RYZ33"/>
    <mergeCell ref="RZA33:RZB33"/>
    <mergeCell ref="RZC33:RZD33"/>
    <mergeCell ref="RYK33:RYL33"/>
    <mergeCell ref="RYM33:RYN33"/>
    <mergeCell ref="RYO33:RYP33"/>
    <mergeCell ref="RYQ33:RYR33"/>
    <mergeCell ref="RYS33:RYT33"/>
    <mergeCell ref="SBC33:SBD33"/>
    <mergeCell ref="SBE33:SBF33"/>
    <mergeCell ref="SBG33:SBH33"/>
    <mergeCell ref="SBI33:SBJ33"/>
    <mergeCell ref="SBK33:SBL33"/>
    <mergeCell ref="SAS33:SAT33"/>
    <mergeCell ref="SAU33:SAV33"/>
    <mergeCell ref="SAW33:SAX33"/>
    <mergeCell ref="SAY33:SAZ33"/>
    <mergeCell ref="SBA33:SBB33"/>
    <mergeCell ref="SAI33:SAJ33"/>
    <mergeCell ref="SAK33:SAL33"/>
    <mergeCell ref="SAM33:SAN33"/>
    <mergeCell ref="SAO33:SAP33"/>
    <mergeCell ref="SAQ33:SAR33"/>
    <mergeCell ref="RZY33:RZZ33"/>
    <mergeCell ref="SAA33:SAB33"/>
    <mergeCell ref="SAC33:SAD33"/>
    <mergeCell ref="SAE33:SAF33"/>
    <mergeCell ref="SAG33:SAH33"/>
    <mergeCell ref="SCQ33:SCR33"/>
    <mergeCell ref="SCS33:SCT33"/>
    <mergeCell ref="SCU33:SCV33"/>
    <mergeCell ref="SCW33:SCX33"/>
    <mergeCell ref="SCY33:SCZ33"/>
    <mergeCell ref="SCG33:SCH33"/>
    <mergeCell ref="SCI33:SCJ33"/>
    <mergeCell ref="SCK33:SCL33"/>
    <mergeCell ref="SCM33:SCN33"/>
    <mergeCell ref="SCO33:SCP33"/>
    <mergeCell ref="SBW33:SBX33"/>
    <mergeCell ref="SBY33:SBZ33"/>
    <mergeCell ref="SCA33:SCB33"/>
    <mergeCell ref="SCC33:SCD33"/>
    <mergeCell ref="SCE33:SCF33"/>
    <mergeCell ref="SBM33:SBN33"/>
    <mergeCell ref="SBO33:SBP33"/>
    <mergeCell ref="SBQ33:SBR33"/>
    <mergeCell ref="SBS33:SBT33"/>
    <mergeCell ref="SBU33:SBV33"/>
    <mergeCell ref="SEE33:SEF33"/>
    <mergeCell ref="SEG33:SEH33"/>
    <mergeCell ref="SEI33:SEJ33"/>
    <mergeCell ref="SEK33:SEL33"/>
    <mergeCell ref="SEM33:SEN33"/>
    <mergeCell ref="SDU33:SDV33"/>
    <mergeCell ref="SDW33:SDX33"/>
    <mergeCell ref="SDY33:SDZ33"/>
    <mergeCell ref="SEA33:SEB33"/>
    <mergeCell ref="SEC33:SED33"/>
    <mergeCell ref="SDK33:SDL33"/>
    <mergeCell ref="SDM33:SDN33"/>
    <mergeCell ref="SDO33:SDP33"/>
    <mergeCell ref="SDQ33:SDR33"/>
    <mergeCell ref="SDS33:SDT33"/>
    <mergeCell ref="SDA33:SDB33"/>
    <mergeCell ref="SDC33:SDD33"/>
    <mergeCell ref="SDE33:SDF33"/>
    <mergeCell ref="SDG33:SDH33"/>
    <mergeCell ref="SDI33:SDJ33"/>
    <mergeCell ref="SFS33:SFT33"/>
    <mergeCell ref="SFU33:SFV33"/>
    <mergeCell ref="SFW33:SFX33"/>
    <mergeCell ref="SFY33:SFZ33"/>
    <mergeCell ref="SGA33:SGB33"/>
    <mergeCell ref="SFI33:SFJ33"/>
    <mergeCell ref="SFK33:SFL33"/>
    <mergeCell ref="SFM33:SFN33"/>
    <mergeCell ref="SFO33:SFP33"/>
    <mergeCell ref="SFQ33:SFR33"/>
    <mergeCell ref="SEY33:SEZ33"/>
    <mergeCell ref="SFA33:SFB33"/>
    <mergeCell ref="SFC33:SFD33"/>
    <mergeCell ref="SFE33:SFF33"/>
    <mergeCell ref="SFG33:SFH33"/>
    <mergeCell ref="SEO33:SEP33"/>
    <mergeCell ref="SEQ33:SER33"/>
    <mergeCell ref="SES33:SET33"/>
    <mergeCell ref="SEU33:SEV33"/>
    <mergeCell ref="SEW33:SEX33"/>
    <mergeCell ref="SHG33:SHH33"/>
    <mergeCell ref="SHI33:SHJ33"/>
    <mergeCell ref="SHK33:SHL33"/>
    <mergeCell ref="SHM33:SHN33"/>
    <mergeCell ref="SHO33:SHP33"/>
    <mergeCell ref="SGW33:SGX33"/>
    <mergeCell ref="SGY33:SGZ33"/>
    <mergeCell ref="SHA33:SHB33"/>
    <mergeCell ref="SHC33:SHD33"/>
    <mergeCell ref="SHE33:SHF33"/>
    <mergeCell ref="SGM33:SGN33"/>
    <mergeCell ref="SGO33:SGP33"/>
    <mergeCell ref="SGQ33:SGR33"/>
    <mergeCell ref="SGS33:SGT33"/>
    <mergeCell ref="SGU33:SGV33"/>
    <mergeCell ref="SGC33:SGD33"/>
    <mergeCell ref="SGE33:SGF33"/>
    <mergeCell ref="SGG33:SGH33"/>
    <mergeCell ref="SGI33:SGJ33"/>
    <mergeCell ref="SGK33:SGL33"/>
    <mergeCell ref="SIU33:SIV33"/>
    <mergeCell ref="SIW33:SIX33"/>
    <mergeCell ref="SIY33:SIZ33"/>
    <mergeCell ref="SJA33:SJB33"/>
    <mergeCell ref="SJC33:SJD33"/>
    <mergeCell ref="SIK33:SIL33"/>
    <mergeCell ref="SIM33:SIN33"/>
    <mergeCell ref="SIO33:SIP33"/>
    <mergeCell ref="SIQ33:SIR33"/>
    <mergeCell ref="SIS33:SIT33"/>
    <mergeCell ref="SIA33:SIB33"/>
    <mergeCell ref="SIC33:SID33"/>
    <mergeCell ref="SIE33:SIF33"/>
    <mergeCell ref="SIG33:SIH33"/>
    <mergeCell ref="SII33:SIJ33"/>
    <mergeCell ref="SHQ33:SHR33"/>
    <mergeCell ref="SHS33:SHT33"/>
    <mergeCell ref="SHU33:SHV33"/>
    <mergeCell ref="SHW33:SHX33"/>
    <mergeCell ref="SHY33:SHZ33"/>
    <mergeCell ref="SKI33:SKJ33"/>
    <mergeCell ref="SKK33:SKL33"/>
    <mergeCell ref="SKM33:SKN33"/>
    <mergeCell ref="SKO33:SKP33"/>
    <mergeCell ref="SKQ33:SKR33"/>
    <mergeCell ref="SJY33:SJZ33"/>
    <mergeCell ref="SKA33:SKB33"/>
    <mergeCell ref="SKC33:SKD33"/>
    <mergeCell ref="SKE33:SKF33"/>
    <mergeCell ref="SKG33:SKH33"/>
    <mergeCell ref="SJO33:SJP33"/>
    <mergeCell ref="SJQ33:SJR33"/>
    <mergeCell ref="SJS33:SJT33"/>
    <mergeCell ref="SJU33:SJV33"/>
    <mergeCell ref="SJW33:SJX33"/>
    <mergeCell ref="SJE33:SJF33"/>
    <mergeCell ref="SJG33:SJH33"/>
    <mergeCell ref="SJI33:SJJ33"/>
    <mergeCell ref="SJK33:SJL33"/>
    <mergeCell ref="SJM33:SJN33"/>
    <mergeCell ref="SLW33:SLX33"/>
    <mergeCell ref="SLY33:SLZ33"/>
    <mergeCell ref="SMA33:SMB33"/>
    <mergeCell ref="SMC33:SMD33"/>
    <mergeCell ref="SME33:SMF33"/>
    <mergeCell ref="SLM33:SLN33"/>
    <mergeCell ref="SLO33:SLP33"/>
    <mergeCell ref="SLQ33:SLR33"/>
    <mergeCell ref="SLS33:SLT33"/>
    <mergeCell ref="SLU33:SLV33"/>
    <mergeCell ref="SLC33:SLD33"/>
    <mergeCell ref="SLE33:SLF33"/>
    <mergeCell ref="SLG33:SLH33"/>
    <mergeCell ref="SLI33:SLJ33"/>
    <mergeCell ref="SLK33:SLL33"/>
    <mergeCell ref="SKS33:SKT33"/>
    <mergeCell ref="SKU33:SKV33"/>
    <mergeCell ref="SKW33:SKX33"/>
    <mergeCell ref="SKY33:SKZ33"/>
    <mergeCell ref="SLA33:SLB33"/>
    <mergeCell ref="SNK33:SNL33"/>
    <mergeCell ref="SNM33:SNN33"/>
    <mergeCell ref="SNO33:SNP33"/>
    <mergeCell ref="SNQ33:SNR33"/>
    <mergeCell ref="SNS33:SNT33"/>
    <mergeCell ref="SNA33:SNB33"/>
    <mergeCell ref="SNC33:SND33"/>
    <mergeCell ref="SNE33:SNF33"/>
    <mergeCell ref="SNG33:SNH33"/>
    <mergeCell ref="SNI33:SNJ33"/>
    <mergeCell ref="SMQ33:SMR33"/>
    <mergeCell ref="SMS33:SMT33"/>
    <mergeCell ref="SMU33:SMV33"/>
    <mergeCell ref="SMW33:SMX33"/>
    <mergeCell ref="SMY33:SMZ33"/>
    <mergeCell ref="SMG33:SMH33"/>
    <mergeCell ref="SMI33:SMJ33"/>
    <mergeCell ref="SMK33:SML33"/>
    <mergeCell ref="SMM33:SMN33"/>
    <mergeCell ref="SMO33:SMP33"/>
    <mergeCell ref="SOY33:SOZ33"/>
    <mergeCell ref="SPA33:SPB33"/>
    <mergeCell ref="SPC33:SPD33"/>
    <mergeCell ref="SPE33:SPF33"/>
    <mergeCell ref="SPG33:SPH33"/>
    <mergeCell ref="SOO33:SOP33"/>
    <mergeCell ref="SOQ33:SOR33"/>
    <mergeCell ref="SOS33:SOT33"/>
    <mergeCell ref="SOU33:SOV33"/>
    <mergeCell ref="SOW33:SOX33"/>
    <mergeCell ref="SOE33:SOF33"/>
    <mergeCell ref="SOG33:SOH33"/>
    <mergeCell ref="SOI33:SOJ33"/>
    <mergeCell ref="SOK33:SOL33"/>
    <mergeCell ref="SOM33:SON33"/>
    <mergeCell ref="SNU33:SNV33"/>
    <mergeCell ref="SNW33:SNX33"/>
    <mergeCell ref="SNY33:SNZ33"/>
    <mergeCell ref="SOA33:SOB33"/>
    <mergeCell ref="SOC33:SOD33"/>
    <mergeCell ref="SQM33:SQN33"/>
    <mergeCell ref="SQO33:SQP33"/>
    <mergeCell ref="SQQ33:SQR33"/>
    <mergeCell ref="SQS33:SQT33"/>
    <mergeCell ref="SQU33:SQV33"/>
    <mergeCell ref="SQC33:SQD33"/>
    <mergeCell ref="SQE33:SQF33"/>
    <mergeCell ref="SQG33:SQH33"/>
    <mergeCell ref="SQI33:SQJ33"/>
    <mergeCell ref="SQK33:SQL33"/>
    <mergeCell ref="SPS33:SPT33"/>
    <mergeCell ref="SPU33:SPV33"/>
    <mergeCell ref="SPW33:SPX33"/>
    <mergeCell ref="SPY33:SPZ33"/>
    <mergeCell ref="SQA33:SQB33"/>
    <mergeCell ref="SPI33:SPJ33"/>
    <mergeCell ref="SPK33:SPL33"/>
    <mergeCell ref="SPM33:SPN33"/>
    <mergeCell ref="SPO33:SPP33"/>
    <mergeCell ref="SPQ33:SPR33"/>
    <mergeCell ref="SSA33:SSB33"/>
    <mergeCell ref="SSC33:SSD33"/>
    <mergeCell ref="SSE33:SSF33"/>
    <mergeCell ref="SSG33:SSH33"/>
    <mergeCell ref="SSI33:SSJ33"/>
    <mergeCell ref="SRQ33:SRR33"/>
    <mergeCell ref="SRS33:SRT33"/>
    <mergeCell ref="SRU33:SRV33"/>
    <mergeCell ref="SRW33:SRX33"/>
    <mergeCell ref="SRY33:SRZ33"/>
    <mergeCell ref="SRG33:SRH33"/>
    <mergeCell ref="SRI33:SRJ33"/>
    <mergeCell ref="SRK33:SRL33"/>
    <mergeCell ref="SRM33:SRN33"/>
    <mergeCell ref="SRO33:SRP33"/>
    <mergeCell ref="SQW33:SQX33"/>
    <mergeCell ref="SQY33:SQZ33"/>
    <mergeCell ref="SRA33:SRB33"/>
    <mergeCell ref="SRC33:SRD33"/>
    <mergeCell ref="SRE33:SRF33"/>
    <mergeCell ref="STO33:STP33"/>
    <mergeCell ref="STQ33:STR33"/>
    <mergeCell ref="STS33:STT33"/>
    <mergeCell ref="STU33:STV33"/>
    <mergeCell ref="STW33:STX33"/>
    <mergeCell ref="STE33:STF33"/>
    <mergeCell ref="STG33:STH33"/>
    <mergeCell ref="STI33:STJ33"/>
    <mergeCell ref="STK33:STL33"/>
    <mergeCell ref="STM33:STN33"/>
    <mergeCell ref="SSU33:SSV33"/>
    <mergeCell ref="SSW33:SSX33"/>
    <mergeCell ref="SSY33:SSZ33"/>
    <mergeCell ref="STA33:STB33"/>
    <mergeCell ref="STC33:STD33"/>
    <mergeCell ref="SSK33:SSL33"/>
    <mergeCell ref="SSM33:SSN33"/>
    <mergeCell ref="SSO33:SSP33"/>
    <mergeCell ref="SSQ33:SSR33"/>
    <mergeCell ref="SSS33:SST33"/>
    <mergeCell ref="SVC33:SVD33"/>
    <mergeCell ref="SVE33:SVF33"/>
    <mergeCell ref="SVG33:SVH33"/>
    <mergeCell ref="SVI33:SVJ33"/>
    <mergeCell ref="SVK33:SVL33"/>
    <mergeCell ref="SUS33:SUT33"/>
    <mergeCell ref="SUU33:SUV33"/>
    <mergeCell ref="SUW33:SUX33"/>
    <mergeCell ref="SUY33:SUZ33"/>
    <mergeCell ref="SVA33:SVB33"/>
    <mergeCell ref="SUI33:SUJ33"/>
    <mergeCell ref="SUK33:SUL33"/>
    <mergeCell ref="SUM33:SUN33"/>
    <mergeCell ref="SUO33:SUP33"/>
    <mergeCell ref="SUQ33:SUR33"/>
    <mergeCell ref="STY33:STZ33"/>
    <mergeCell ref="SUA33:SUB33"/>
    <mergeCell ref="SUC33:SUD33"/>
    <mergeCell ref="SUE33:SUF33"/>
    <mergeCell ref="SUG33:SUH33"/>
    <mergeCell ref="SWQ33:SWR33"/>
    <mergeCell ref="SWS33:SWT33"/>
    <mergeCell ref="SWU33:SWV33"/>
    <mergeCell ref="SWW33:SWX33"/>
    <mergeCell ref="SWY33:SWZ33"/>
    <mergeCell ref="SWG33:SWH33"/>
    <mergeCell ref="SWI33:SWJ33"/>
    <mergeCell ref="SWK33:SWL33"/>
    <mergeCell ref="SWM33:SWN33"/>
    <mergeCell ref="SWO33:SWP33"/>
    <mergeCell ref="SVW33:SVX33"/>
    <mergeCell ref="SVY33:SVZ33"/>
    <mergeCell ref="SWA33:SWB33"/>
    <mergeCell ref="SWC33:SWD33"/>
    <mergeCell ref="SWE33:SWF33"/>
    <mergeCell ref="SVM33:SVN33"/>
    <mergeCell ref="SVO33:SVP33"/>
    <mergeCell ref="SVQ33:SVR33"/>
    <mergeCell ref="SVS33:SVT33"/>
    <mergeCell ref="SVU33:SVV33"/>
    <mergeCell ref="SYE33:SYF33"/>
    <mergeCell ref="SYG33:SYH33"/>
    <mergeCell ref="SYI33:SYJ33"/>
    <mergeCell ref="SYK33:SYL33"/>
    <mergeCell ref="SYM33:SYN33"/>
    <mergeCell ref="SXU33:SXV33"/>
    <mergeCell ref="SXW33:SXX33"/>
    <mergeCell ref="SXY33:SXZ33"/>
    <mergeCell ref="SYA33:SYB33"/>
    <mergeCell ref="SYC33:SYD33"/>
    <mergeCell ref="SXK33:SXL33"/>
    <mergeCell ref="SXM33:SXN33"/>
    <mergeCell ref="SXO33:SXP33"/>
    <mergeCell ref="SXQ33:SXR33"/>
    <mergeCell ref="SXS33:SXT33"/>
    <mergeCell ref="SXA33:SXB33"/>
    <mergeCell ref="SXC33:SXD33"/>
    <mergeCell ref="SXE33:SXF33"/>
    <mergeCell ref="SXG33:SXH33"/>
    <mergeCell ref="SXI33:SXJ33"/>
    <mergeCell ref="SZS33:SZT33"/>
    <mergeCell ref="SZU33:SZV33"/>
    <mergeCell ref="SZW33:SZX33"/>
    <mergeCell ref="SZY33:SZZ33"/>
    <mergeCell ref="TAA33:TAB33"/>
    <mergeCell ref="SZI33:SZJ33"/>
    <mergeCell ref="SZK33:SZL33"/>
    <mergeCell ref="SZM33:SZN33"/>
    <mergeCell ref="SZO33:SZP33"/>
    <mergeCell ref="SZQ33:SZR33"/>
    <mergeCell ref="SYY33:SYZ33"/>
    <mergeCell ref="SZA33:SZB33"/>
    <mergeCell ref="SZC33:SZD33"/>
    <mergeCell ref="SZE33:SZF33"/>
    <mergeCell ref="SZG33:SZH33"/>
    <mergeCell ref="SYO33:SYP33"/>
    <mergeCell ref="SYQ33:SYR33"/>
    <mergeCell ref="SYS33:SYT33"/>
    <mergeCell ref="SYU33:SYV33"/>
    <mergeCell ref="SYW33:SYX33"/>
    <mergeCell ref="TBG33:TBH33"/>
    <mergeCell ref="TBI33:TBJ33"/>
    <mergeCell ref="TBK33:TBL33"/>
    <mergeCell ref="TBM33:TBN33"/>
    <mergeCell ref="TBO33:TBP33"/>
    <mergeCell ref="TAW33:TAX33"/>
    <mergeCell ref="TAY33:TAZ33"/>
    <mergeCell ref="TBA33:TBB33"/>
    <mergeCell ref="TBC33:TBD33"/>
    <mergeCell ref="TBE33:TBF33"/>
    <mergeCell ref="TAM33:TAN33"/>
    <mergeCell ref="TAO33:TAP33"/>
    <mergeCell ref="TAQ33:TAR33"/>
    <mergeCell ref="TAS33:TAT33"/>
    <mergeCell ref="TAU33:TAV33"/>
    <mergeCell ref="TAC33:TAD33"/>
    <mergeCell ref="TAE33:TAF33"/>
    <mergeCell ref="TAG33:TAH33"/>
    <mergeCell ref="TAI33:TAJ33"/>
    <mergeCell ref="TAK33:TAL33"/>
    <mergeCell ref="TCU33:TCV33"/>
    <mergeCell ref="TCW33:TCX33"/>
    <mergeCell ref="TCY33:TCZ33"/>
    <mergeCell ref="TDA33:TDB33"/>
    <mergeCell ref="TDC33:TDD33"/>
    <mergeCell ref="TCK33:TCL33"/>
    <mergeCell ref="TCM33:TCN33"/>
    <mergeCell ref="TCO33:TCP33"/>
    <mergeCell ref="TCQ33:TCR33"/>
    <mergeCell ref="TCS33:TCT33"/>
    <mergeCell ref="TCA33:TCB33"/>
    <mergeCell ref="TCC33:TCD33"/>
    <mergeCell ref="TCE33:TCF33"/>
    <mergeCell ref="TCG33:TCH33"/>
    <mergeCell ref="TCI33:TCJ33"/>
    <mergeCell ref="TBQ33:TBR33"/>
    <mergeCell ref="TBS33:TBT33"/>
    <mergeCell ref="TBU33:TBV33"/>
    <mergeCell ref="TBW33:TBX33"/>
    <mergeCell ref="TBY33:TBZ33"/>
    <mergeCell ref="TEI33:TEJ33"/>
    <mergeCell ref="TEK33:TEL33"/>
    <mergeCell ref="TEM33:TEN33"/>
    <mergeCell ref="TEO33:TEP33"/>
    <mergeCell ref="TEQ33:TER33"/>
    <mergeCell ref="TDY33:TDZ33"/>
    <mergeCell ref="TEA33:TEB33"/>
    <mergeCell ref="TEC33:TED33"/>
    <mergeCell ref="TEE33:TEF33"/>
    <mergeCell ref="TEG33:TEH33"/>
    <mergeCell ref="TDO33:TDP33"/>
    <mergeCell ref="TDQ33:TDR33"/>
    <mergeCell ref="TDS33:TDT33"/>
    <mergeCell ref="TDU33:TDV33"/>
    <mergeCell ref="TDW33:TDX33"/>
    <mergeCell ref="TDE33:TDF33"/>
    <mergeCell ref="TDG33:TDH33"/>
    <mergeCell ref="TDI33:TDJ33"/>
    <mergeCell ref="TDK33:TDL33"/>
    <mergeCell ref="TDM33:TDN33"/>
    <mergeCell ref="TFW33:TFX33"/>
    <mergeCell ref="TFY33:TFZ33"/>
    <mergeCell ref="TGA33:TGB33"/>
    <mergeCell ref="TGC33:TGD33"/>
    <mergeCell ref="TGE33:TGF33"/>
    <mergeCell ref="TFM33:TFN33"/>
    <mergeCell ref="TFO33:TFP33"/>
    <mergeCell ref="TFQ33:TFR33"/>
    <mergeCell ref="TFS33:TFT33"/>
    <mergeCell ref="TFU33:TFV33"/>
    <mergeCell ref="TFC33:TFD33"/>
    <mergeCell ref="TFE33:TFF33"/>
    <mergeCell ref="TFG33:TFH33"/>
    <mergeCell ref="TFI33:TFJ33"/>
    <mergeCell ref="TFK33:TFL33"/>
    <mergeCell ref="TES33:TET33"/>
    <mergeCell ref="TEU33:TEV33"/>
    <mergeCell ref="TEW33:TEX33"/>
    <mergeCell ref="TEY33:TEZ33"/>
    <mergeCell ref="TFA33:TFB33"/>
    <mergeCell ref="THK33:THL33"/>
    <mergeCell ref="THM33:THN33"/>
    <mergeCell ref="THO33:THP33"/>
    <mergeCell ref="THQ33:THR33"/>
    <mergeCell ref="THS33:THT33"/>
    <mergeCell ref="THA33:THB33"/>
    <mergeCell ref="THC33:THD33"/>
    <mergeCell ref="THE33:THF33"/>
    <mergeCell ref="THG33:THH33"/>
    <mergeCell ref="THI33:THJ33"/>
    <mergeCell ref="TGQ33:TGR33"/>
    <mergeCell ref="TGS33:TGT33"/>
    <mergeCell ref="TGU33:TGV33"/>
    <mergeCell ref="TGW33:TGX33"/>
    <mergeCell ref="TGY33:TGZ33"/>
    <mergeCell ref="TGG33:TGH33"/>
    <mergeCell ref="TGI33:TGJ33"/>
    <mergeCell ref="TGK33:TGL33"/>
    <mergeCell ref="TGM33:TGN33"/>
    <mergeCell ref="TGO33:TGP33"/>
    <mergeCell ref="TIY33:TIZ33"/>
    <mergeCell ref="TJA33:TJB33"/>
    <mergeCell ref="TJC33:TJD33"/>
    <mergeCell ref="TJE33:TJF33"/>
    <mergeCell ref="TJG33:TJH33"/>
    <mergeCell ref="TIO33:TIP33"/>
    <mergeCell ref="TIQ33:TIR33"/>
    <mergeCell ref="TIS33:TIT33"/>
    <mergeCell ref="TIU33:TIV33"/>
    <mergeCell ref="TIW33:TIX33"/>
    <mergeCell ref="TIE33:TIF33"/>
    <mergeCell ref="TIG33:TIH33"/>
    <mergeCell ref="TII33:TIJ33"/>
    <mergeCell ref="TIK33:TIL33"/>
    <mergeCell ref="TIM33:TIN33"/>
    <mergeCell ref="THU33:THV33"/>
    <mergeCell ref="THW33:THX33"/>
    <mergeCell ref="THY33:THZ33"/>
    <mergeCell ref="TIA33:TIB33"/>
    <mergeCell ref="TIC33:TID33"/>
    <mergeCell ref="TKM33:TKN33"/>
    <mergeCell ref="TKO33:TKP33"/>
    <mergeCell ref="TKQ33:TKR33"/>
    <mergeCell ref="TKS33:TKT33"/>
    <mergeCell ref="TKU33:TKV33"/>
    <mergeCell ref="TKC33:TKD33"/>
    <mergeCell ref="TKE33:TKF33"/>
    <mergeCell ref="TKG33:TKH33"/>
    <mergeCell ref="TKI33:TKJ33"/>
    <mergeCell ref="TKK33:TKL33"/>
    <mergeCell ref="TJS33:TJT33"/>
    <mergeCell ref="TJU33:TJV33"/>
    <mergeCell ref="TJW33:TJX33"/>
    <mergeCell ref="TJY33:TJZ33"/>
    <mergeCell ref="TKA33:TKB33"/>
    <mergeCell ref="TJI33:TJJ33"/>
    <mergeCell ref="TJK33:TJL33"/>
    <mergeCell ref="TJM33:TJN33"/>
    <mergeCell ref="TJO33:TJP33"/>
    <mergeCell ref="TJQ33:TJR33"/>
    <mergeCell ref="TMA33:TMB33"/>
    <mergeCell ref="TMC33:TMD33"/>
    <mergeCell ref="TME33:TMF33"/>
    <mergeCell ref="TMG33:TMH33"/>
    <mergeCell ref="TMI33:TMJ33"/>
    <mergeCell ref="TLQ33:TLR33"/>
    <mergeCell ref="TLS33:TLT33"/>
    <mergeCell ref="TLU33:TLV33"/>
    <mergeCell ref="TLW33:TLX33"/>
    <mergeCell ref="TLY33:TLZ33"/>
    <mergeCell ref="TLG33:TLH33"/>
    <mergeCell ref="TLI33:TLJ33"/>
    <mergeCell ref="TLK33:TLL33"/>
    <mergeCell ref="TLM33:TLN33"/>
    <mergeCell ref="TLO33:TLP33"/>
    <mergeCell ref="TKW33:TKX33"/>
    <mergeCell ref="TKY33:TKZ33"/>
    <mergeCell ref="TLA33:TLB33"/>
    <mergeCell ref="TLC33:TLD33"/>
    <mergeCell ref="TLE33:TLF33"/>
    <mergeCell ref="TNO33:TNP33"/>
    <mergeCell ref="TNQ33:TNR33"/>
    <mergeCell ref="TNS33:TNT33"/>
    <mergeCell ref="TNU33:TNV33"/>
    <mergeCell ref="TNW33:TNX33"/>
    <mergeCell ref="TNE33:TNF33"/>
    <mergeCell ref="TNG33:TNH33"/>
    <mergeCell ref="TNI33:TNJ33"/>
    <mergeCell ref="TNK33:TNL33"/>
    <mergeCell ref="TNM33:TNN33"/>
    <mergeCell ref="TMU33:TMV33"/>
    <mergeCell ref="TMW33:TMX33"/>
    <mergeCell ref="TMY33:TMZ33"/>
    <mergeCell ref="TNA33:TNB33"/>
    <mergeCell ref="TNC33:TND33"/>
    <mergeCell ref="TMK33:TML33"/>
    <mergeCell ref="TMM33:TMN33"/>
    <mergeCell ref="TMO33:TMP33"/>
    <mergeCell ref="TMQ33:TMR33"/>
    <mergeCell ref="TMS33:TMT33"/>
    <mergeCell ref="TPC33:TPD33"/>
    <mergeCell ref="TPE33:TPF33"/>
    <mergeCell ref="TPG33:TPH33"/>
    <mergeCell ref="TPI33:TPJ33"/>
    <mergeCell ref="TPK33:TPL33"/>
    <mergeCell ref="TOS33:TOT33"/>
    <mergeCell ref="TOU33:TOV33"/>
    <mergeCell ref="TOW33:TOX33"/>
    <mergeCell ref="TOY33:TOZ33"/>
    <mergeCell ref="TPA33:TPB33"/>
    <mergeCell ref="TOI33:TOJ33"/>
    <mergeCell ref="TOK33:TOL33"/>
    <mergeCell ref="TOM33:TON33"/>
    <mergeCell ref="TOO33:TOP33"/>
    <mergeCell ref="TOQ33:TOR33"/>
    <mergeCell ref="TNY33:TNZ33"/>
    <mergeCell ref="TOA33:TOB33"/>
    <mergeCell ref="TOC33:TOD33"/>
    <mergeCell ref="TOE33:TOF33"/>
    <mergeCell ref="TOG33:TOH33"/>
    <mergeCell ref="TQQ33:TQR33"/>
    <mergeCell ref="TQS33:TQT33"/>
    <mergeCell ref="TQU33:TQV33"/>
    <mergeCell ref="TQW33:TQX33"/>
    <mergeCell ref="TQY33:TQZ33"/>
    <mergeCell ref="TQG33:TQH33"/>
    <mergeCell ref="TQI33:TQJ33"/>
    <mergeCell ref="TQK33:TQL33"/>
    <mergeCell ref="TQM33:TQN33"/>
    <mergeCell ref="TQO33:TQP33"/>
    <mergeCell ref="TPW33:TPX33"/>
    <mergeCell ref="TPY33:TPZ33"/>
    <mergeCell ref="TQA33:TQB33"/>
    <mergeCell ref="TQC33:TQD33"/>
    <mergeCell ref="TQE33:TQF33"/>
    <mergeCell ref="TPM33:TPN33"/>
    <mergeCell ref="TPO33:TPP33"/>
    <mergeCell ref="TPQ33:TPR33"/>
    <mergeCell ref="TPS33:TPT33"/>
    <mergeCell ref="TPU33:TPV33"/>
    <mergeCell ref="TSE33:TSF33"/>
    <mergeCell ref="TSG33:TSH33"/>
    <mergeCell ref="TSI33:TSJ33"/>
    <mergeCell ref="TSK33:TSL33"/>
    <mergeCell ref="TSM33:TSN33"/>
    <mergeCell ref="TRU33:TRV33"/>
    <mergeCell ref="TRW33:TRX33"/>
    <mergeCell ref="TRY33:TRZ33"/>
    <mergeCell ref="TSA33:TSB33"/>
    <mergeCell ref="TSC33:TSD33"/>
    <mergeCell ref="TRK33:TRL33"/>
    <mergeCell ref="TRM33:TRN33"/>
    <mergeCell ref="TRO33:TRP33"/>
    <mergeCell ref="TRQ33:TRR33"/>
    <mergeCell ref="TRS33:TRT33"/>
    <mergeCell ref="TRA33:TRB33"/>
    <mergeCell ref="TRC33:TRD33"/>
    <mergeCell ref="TRE33:TRF33"/>
    <mergeCell ref="TRG33:TRH33"/>
    <mergeCell ref="TRI33:TRJ33"/>
    <mergeCell ref="TTS33:TTT33"/>
    <mergeCell ref="TTU33:TTV33"/>
    <mergeCell ref="TTW33:TTX33"/>
    <mergeCell ref="TTY33:TTZ33"/>
    <mergeCell ref="TUA33:TUB33"/>
    <mergeCell ref="TTI33:TTJ33"/>
    <mergeCell ref="TTK33:TTL33"/>
    <mergeCell ref="TTM33:TTN33"/>
    <mergeCell ref="TTO33:TTP33"/>
    <mergeCell ref="TTQ33:TTR33"/>
    <mergeCell ref="TSY33:TSZ33"/>
    <mergeCell ref="TTA33:TTB33"/>
    <mergeCell ref="TTC33:TTD33"/>
    <mergeCell ref="TTE33:TTF33"/>
    <mergeCell ref="TTG33:TTH33"/>
    <mergeCell ref="TSO33:TSP33"/>
    <mergeCell ref="TSQ33:TSR33"/>
    <mergeCell ref="TSS33:TST33"/>
    <mergeCell ref="TSU33:TSV33"/>
    <mergeCell ref="TSW33:TSX33"/>
    <mergeCell ref="TVG33:TVH33"/>
    <mergeCell ref="TVI33:TVJ33"/>
    <mergeCell ref="TVK33:TVL33"/>
    <mergeCell ref="TVM33:TVN33"/>
    <mergeCell ref="TVO33:TVP33"/>
    <mergeCell ref="TUW33:TUX33"/>
    <mergeCell ref="TUY33:TUZ33"/>
    <mergeCell ref="TVA33:TVB33"/>
    <mergeCell ref="TVC33:TVD33"/>
    <mergeCell ref="TVE33:TVF33"/>
    <mergeCell ref="TUM33:TUN33"/>
    <mergeCell ref="TUO33:TUP33"/>
    <mergeCell ref="TUQ33:TUR33"/>
    <mergeCell ref="TUS33:TUT33"/>
    <mergeCell ref="TUU33:TUV33"/>
    <mergeCell ref="TUC33:TUD33"/>
    <mergeCell ref="TUE33:TUF33"/>
    <mergeCell ref="TUG33:TUH33"/>
    <mergeCell ref="TUI33:TUJ33"/>
    <mergeCell ref="TUK33:TUL33"/>
    <mergeCell ref="TWU33:TWV33"/>
    <mergeCell ref="TWW33:TWX33"/>
    <mergeCell ref="TWY33:TWZ33"/>
    <mergeCell ref="TXA33:TXB33"/>
    <mergeCell ref="TXC33:TXD33"/>
    <mergeCell ref="TWK33:TWL33"/>
    <mergeCell ref="TWM33:TWN33"/>
    <mergeCell ref="TWO33:TWP33"/>
    <mergeCell ref="TWQ33:TWR33"/>
    <mergeCell ref="TWS33:TWT33"/>
    <mergeCell ref="TWA33:TWB33"/>
    <mergeCell ref="TWC33:TWD33"/>
    <mergeCell ref="TWE33:TWF33"/>
    <mergeCell ref="TWG33:TWH33"/>
    <mergeCell ref="TWI33:TWJ33"/>
    <mergeCell ref="TVQ33:TVR33"/>
    <mergeCell ref="TVS33:TVT33"/>
    <mergeCell ref="TVU33:TVV33"/>
    <mergeCell ref="TVW33:TVX33"/>
    <mergeCell ref="TVY33:TVZ33"/>
    <mergeCell ref="TYI33:TYJ33"/>
    <mergeCell ref="TYK33:TYL33"/>
    <mergeCell ref="TYM33:TYN33"/>
    <mergeCell ref="TYO33:TYP33"/>
    <mergeCell ref="TYQ33:TYR33"/>
    <mergeCell ref="TXY33:TXZ33"/>
    <mergeCell ref="TYA33:TYB33"/>
    <mergeCell ref="TYC33:TYD33"/>
    <mergeCell ref="TYE33:TYF33"/>
    <mergeCell ref="TYG33:TYH33"/>
    <mergeCell ref="TXO33:TXP33"/>
    <mergeCell ref="TXQ33:TXR33"/>
    <mergeCell ref="TXS33:TXT33"/>
    <mergeCell ref="TXU33:TXV33"/>
    <mergeCell ref="TXW33:TXX33"/>
    <mergeCell ref="TXE33:TXF33"/>
    <mergeCell ref="TXG33:TXH33"/>
    <mergeCell ref="TXI33:TXJ33"/>
    <mergeCell ref="TXK33:TXL33"/>
    <mergeCell ref="TXM33:TXN33"/>
    <mergeCell ref="TZW33:TZX33"/>
    <mergeCell ref="TZY33:TZZ33"/>
    <mergeCell ref="UAA33:UAB33"/>
    <mergeCell ref="UAC33:UAD33"/>
    <mergeCell ref="UAE33:UAF33"/>
    <mergeCell ref="TZM33:TZN33"/>
    <mergeCell ref="TZO33:TZP33"/>
    <mergeCell ref="TZQ33:TZR33"/>
    <mergeCell ref="TZS33:TZT33"/>
    <mergeCell ref="TZU33:TZV33"/>
    <mergeCell ref="TZC33:TZD33"/>
    <mergeCell ref="TZE33:TZF33"/>
    <mergeCell ref="TZG33:TZH33"/>
    <mergeCell ref="TZI33:TZJ33"/>
    <mergeCell ref="TZK33:TZL33"/>
    <mergeCell ref="TYS33:TYT33"/>
    <mergeCell ref="TYU33:TYV33"/>
    <mergeCell ref="TYW33:TYX33"/>
    <mergeCell ref="TYY33:TYZ33"/>
    <mergeCell ref="TZA33:TZB33"/>
    <mergeCell ref="UBK33:UBL33"/>
    <mergeCell ref="UBM33:UBN33"/>
    <mergeCell ref="UBO33:UBP33"/>
    <mergeCell ref="UBQ33:UBR33"/>
    <mergeCell ref="UBS33:UBT33"/>
    <mergeCell ref="UBA33:UBB33"/>
    <mergeCell ref="UBC33:UBD33"/>
    <mergeCell ref="UBE33:UBF33"/>
    <mergeCell ref="UBG33:UBH33"/>
    <mergeCell ref="UBI33:UBJ33"/>
    <mergeCell ref="UAQ33:UAR33"/>
    <mergeCell ref="UAS33:UAT33"/>
    <mergeCell ref="UAU33:UAV33"/>
    <mergeCell ref="UAW33:UAX33"/>
    <mergeCell ref="UAY33:UAZ33"/>
    <mergeCell ref="UAG33:UAH33"/>
    <mergeCell ref="UAI33:UAJ33"/>
    <mergeCell ref="UAK33:UAL33"/>
    <mergeCell ref="UAM33:UAN33"/>
    <mergeCell ref="UAO33:UAP33"/>
    <mergeCell ref="UCY33:UCZ33"/>
    <mergeCell ref="UDA33:UDB33"/>
    <mergeCell ref="UDC33:UDD33"/>
    <mergeCell ref="UDE33:UDF33"/>
    <mergeCell ref="UDG33:UDH33"/>
    <mergeCell ref="UCO33:UCP33"/>
    <mergeCell ref="UCQ33:UCR33"/>
    <mergeCell ref="UCS33:UCT33"/>
    <mergeCell ref="UCU33:UCV33"/>
    <mergeCell ref="UCW33:UCX33"/>
    <mergeCell ref="UCE33:UCF33"/>
    <mergeCell ref="UCG33:UCH33"/>
    <mergeCell ref="UCI33:UCJ33"/>
    <mergeCell ref="UCK33:UCL33"/>
    <mergeCell ref="UCM33:UCN33"/>
    <mergeCell ref="UBU33:UBV33"/>
    <mergeCell ref="UBW33:UBX33"/>
    <mergeCell ref="UBY33:UBZ33"/>
    <mergeCell ref="UCA33:UCB33"/>
    <mergeCell ref="UCC33:UCD33"/>
    <mergeCell ref="UEM33:UEN33"/>
    <mergeCell ref="UEO33:UEP33"/>
    <mergeCell ref="UEQ33:UER33"/>
    <mergeCell ref="UES33:UET33"/>
    <mergeCell ref="UEU33:UEV33"/>
    <mergeCell ref="UEC33:UED33"/>
    <mergeCell ref="UEE33:UEF33"/>
    <mergeCell ref="UEG33:UEH33"/>
    <mergeCell ref="UEI33:UEJ33"/>
    <mergeCell ref="UEK33:UEL33"/>
    <mergeCell ref="UDS33:UDT33"/>
    <mergeCell ref="UDU33:UDV33"/>
    <mergeCell ref="UDW33:UDX33"/>
    <mergeCell ref="UDY33:UDZ33"/>
    <mergeCell ref="UEA33:UEB33"/>
    <mergeCell ref="UDI33:UDJ33"/>
    <mergeCell ref="UDK33:UDL33"/>
    <mergeCell ref="UDM33:UDN33"/>
    <mergeCell ref="UDO33:UDP33"/>
    <mergeCell ref="UDQ33:UDR33"/>
    <mergeCell ref="UGA33:UGB33"/>
    <mergeCell ref="UGC33:UGD33"/>
    <mergeCell ref="UGE33:UGF33"/>
    <mergeCell ref="UGG33:UGH33"/>
    <mergeCell ref="UGI33:UGJ33"/>
    <mergeCell ref="UFQ33:UFR33"/>
    <mergeCell ref="UFS33:UFT33"/>
    <mergeCell ref="UFU33:UFV33"/>
    <mergeCell ref="UFW33:UFX33"/>
    <mergeCell ref="UFY33:UFZ33"/>
    <mergeCell ref="UFG33:UFH33"/>
    <mergeCell ref="UFI33:UFJ33"/>
    <mergeCell ref="UFK33:UFL33"/>
    <mergeCell ref="UFM33:UFN33"/>
    <mergeCell ref="UFO33:UFP33"/>
    <mergeCell ref="UEW33:UEX33"/>
    <mergeCell ref="UEY33:UEZ33"/>
    <mergeCell ref="UFA33:UFB33"/>
    <mergeCell ref="UFC33:UFD33"/>
    <mergeCell ref="UFE33:UFF33"/>
    <mergeCell ref="UHO33:UHP33"/>
    <mergeCell ref="UHQ33:UHR33"/>
    <mergeCell ref="UHS33:UHT33"/>
    <mergeCell ref="UHU33:UHV33"/>
    <mergeCell ref="UHW33:UHX33"/>
    <mergeCell ref="UHE33:UHF33"/>
    <mergeCell ref="UHG33:UHH33"/>
    <mergeCell ref="UHI33:UHJ33"/>
    <mergeCell ref="UHK33:UHL33"/>
    <mergeCell ref="UHM33:UHN33"/>
    <mergeCell ref="UGU33:UGV33"/>
    <mergeCell ref="UGW33:UGX33"/>
    <mergeCell ref="UGY33:UGZ33"/>
    <mergeCell ref="UHA33:UHB33"/>
    <mergeCell ref="UHC33:UHD33"/>
    <mergeCell ref="UGK33:UGL33"/>
    <mergeCell ref="UGM33:UGN33"/>
    <mergeCell ref="UGO33:UGP33"/>
    <mergeCell ref="UGQ33:UGR33"/>
    <mergeCell ref="UGS33:UGT33"/>
    <mergeCell ref="UJC33:UJD33"/>
    <mergeCell ref="UJE33:UJF33"/>
    <mergeCell ref="UJG33:UJH33"/>
    <mergeCell ref="UJI33:UJJ33"/>
    <mergeCell ref="UJK33:UJL33"/>
    <mergeCell ref="UIS33:UIT33"/>
    <mergeCell ref="UIU33:UIV33"/>
    <mergeCell ref="UIW33:UIX33"/>
    <mergeCell ref="UIY33:UIZ33"/>
    <mergeCell ref="UJA33:UJB33"/>
    <mergeCell ref="UII33:UIJ33"/>
    <mergeCell ref="UIK33:UIL33"/>
    <mergeCell ref="UIM33:UIN33"/>
    <mergeCell ref="UIO33:UIP33"/>
    <mergeCell ref="UIQ33:UIR33"/>
    <mergeCell ref="UHY33:UHZ33"/>
    <mergeCell ref="UIA33:UIB33"/>
    <mergeCell ref="UIC33:UID33"/>
    <mergeCell ref="UIE33:UIF33"/>
    <mergeCell ref="UIG33:UIH33"/>
    <mergeCell ref="UKQ33:UKR33"/>
    <mergeCell ref="UKS33:UKT33"/>
    <mergeCell ref="UKU33:UKV33"/>
    <mergeCell ref="UKW33:UKX33"/>
    <mergeCell ref="UKY33:UKZ33"/>
    <mergeCell ref="UKG33:UKH33"/>
    <mergeCell ref="UKI33:UKJ33"/>
    <mergeCell ref="UKK33:UKL33"/>
    <mergeCell ref="UKM33:UKN33"/>
    <mergeCell ref="UKO33:UKP33"/>
    <mergeCell ref="UJW33:UJX33"/>
    <mergeCell ref="UJY33:UJZ33"/>
    <mergeCell ref="UKA33:UKB33"/>
    <mergeCell ref="UKC33:UKD33"/>
    <mergeCell ref="UKE33:UKF33"/>
    <mergeCell ref="UJM33:UJN33"/>
    <mergeCell ref="UJO33:UJP33"/>
    <mergeCell ref="UJQ33:UJR33"/>
    <mergeCell ref="UJS33:UJT33"/>
    <mergeCell ref="UJU33:UJV33"/>
    <mergeCell ref="UME33:UMF33"/>
    <mergeCell ref="UMG33:UMH33"/>
    <mergeCell ref="UMI33:UMJ33"/>
    <mergeCell ref="UMK33:UML33"/>
    <mergeCell ref="UMM33:UMN33"/>
    <mergeCell ref="ULU33:ULV33"/>
    <mergeCell ref="ULW33:ULX33"/>
    <mergeCell ref="ULY33:ULZ33"/>
    <mergeCell ref="UMA33:UMB33"/>
    <mergeCell ref="UMC33:UMD33"/>
    <mergeCell ref="ULK33:ULL33"/>
    <mergeCell ref="ULM33:ULN33"/>
    <mergeCell ref="ULO33:ULP33"/>
    <mergeCell ref="ULQ33:ULR33"/>
    <mergeCell ref="ULS33:ULT33"/>
    <mergeCell ref="ULA33:ULB33"/>
    <mergeCell ref="ULC33:ULD33"/>
    <mergeCell ref="ULE33:ULF33"/>
    <mergeCell ref="ULG33:ULH33"/>
    <mergeCell ref="ULI33:ULJ33"/>
    <mergeCell ref="UNS33:UNT33"/>
    <mergeCell ref="UNU33:UNV33"/>
    <mergeCell ref="UNW33:UNX33"/>
    <mergeCell ref="UNY33:UNZ33"/>
    <mergeCell ref="UOA33:UOB33"/>
    <mergeCell ref="UNI33:UNJ33"/>
    <mergeCell ref="UNK33:UNL33"/>
    <mergeCell ref="UNM33:UNN33"/>
    <mergeCell ref="UNO33:UNP33"/>
    <mergeCell ref="UNQ33:UNR33"/>
    <mergeCell ref="UMY33:UMZ33"/>
    <mergeCell ref="UNA33:UNB33"/>
    <mergeCell ref="UNC33:UND33"/>
    <mergeCell ref="UNE33:UNF33"/>
    <mergeCell ref="UNG33:UNH33"/>
    <mergeCell ref="UMO33:UMP33"/>
    <mergeCell ref="UMQ33:UMR33"/>
    <mergeCell ref="UMS33:UMT33"/>
    <mergeCell ref="UMU33:UMV33"/>
    <mergeCell ref="UMW33:UMX33"/>
    <mergeCell ref="UPG33:UPH33"/>
    <mergeCell ref="UPI33:UPJ33"/>
    <mergeCell ref="UPK33:UPL33"/>
    <mergeCell ref="UPM33:UPN33"/>
    <mergeCell ref="UPO33:UPP33"/>
    <mergeCell ref="UOW33:UOX33"/>
    <mergeCell ref="UOY33:UOZ33"/>
    <mergeCell ref="UPA33:UPB33"/>
    <mergeCell ref="UPC33:UPD33"/>
    <mergeCell ref="UPE33:UPF33"/>
    <mergeCell ref="UOM33:UON33"/>
    <mergeCell ref="UOO33:UOP33"/>
    <mergeCell ref="UOQ33:UOR33"/>
    <mergeCell ref="UOS33:UOT33"/>
    <mergeCell ref="UOU33:UOV33"/>
    <mergeCell ref="UOC33:UOD33"/>
    <mergeCell ref="UOE33:UOF33"/>
    <mergeCell ref="UOG33:UOH33"/>
    <mergeCell ref="UOI33:UOJ33"/>
    <mergeCell ref="UOK33:UOL33"/>
    <mergeCell ref="UQU33:UQV33"/>
    <mergeCell ref="UQW33:UQX33"/>
    <mergeCell ref="UQY33:UQZ33"/>
    <mergeCell ref="URA33:URB33"/>
    <mergeCell ref="URC33:URD33"/>
    <mergeCell ref="UQK33:UQL33"/>
    <mergeCell ref="UQM33:UQN33"/>
    <mergeCell ref="UQO33:UQP33"/>
    <mergeCell ref="UQQ33:UQR33"/>
    <mergeCell ref="UQS33:UQT33"/>
    <mergeCell ref="UQA33:UQB33"/>
    <mergeCell ref="UQC33:UQD33"/>
    <mergeCell ref="UQE33:UQF33"/>
    <mergeCell ref="UQG33:UQH33"/>
    <mergeCell ref="UQI33:UQJ33"/>
    <mergeCell ref="UPQ33:UPR33"/>
    <mergeCell ref="UPS33:UPT33"/>
    <mergeCell ref="UPU33:UPV33"/>
    <mergeCell ref="UPW33:UPX33"/>
    <mergeCell ref="UPY33:UPZ33"/>
    <mergeCell ref="USI33:USJ33"/>
    <mergeCell ref="USK33:USL33"/>
    <mergeCell ref="USM33:USN33"/>
    <mergeCell ref="USO33:USP33"/>
    <mergeCell ref="USQ33:USR33"/>
    <mergeCell ref="URY33:URZ33"/>
    <mergeCell ref="USA33:USB33"/>
    <mergeCell ref="USC33:USD33"/>
    <mergeCell ref="USE33:USF33"/>
    <mergeCell ref="USG33:USH33"/>
    <mergeCell ref="URO33:URP33"/>
    <mergeCell ref="URQ33:URR33"/>
    <mergeCell ref="URS33:URT33"/>
    <mergeCell ref="URU33:URV33"/>
    <mergeCell ref="URW33:URX33"/>
    <mergeCell ref="URE33:URF33"/>
    <mergeCell ref="URG33:URH33"/>
    <mergeCell ref="URI33:URJ33"/>
    <mergeCell ref="URK33:URL33"/>
    <mergeCell ref="URM33:URN33"/>
    <mergeCell ref="UTW33:UTX33"/>
    <mergeCell ref="UTY33:UTZ33"/>
    <mergeCell ref="UUA33:UUB33"/>
    <mergeCell ref="UUC33:UUD33"/>
    <mergeCell ref="UUE33:UUF33"/>
    <mergeCell ref="UTM33:UTN33"/>
    <mergeCell ref="UTO33:UTP33"/>
    <mergeCell ref="UTQ33:UTR33"/>
    <mergeCell ref="UTS33:UTT33"/>
    <mergeCell ref="UTU33:UTV33"/>
    <mergeCell ref="UTC33:UTD33"/>
    <mergeCell ref="UTE33:UTF33"/>
    <mergeCell ref="UTG33:UTH33"/>
    <mergeCell ref="UTI33:UTJ33"/>
    <mergeCell ref="UTK33:UTL33"/>
    <mergeCell ref="USS33:UST33"/>
    <mergeCell ref="USU33:USV33"/>
    <mergeCell ref="USW33:USX33"/>
    <mergeCell ref="USY33:USZ33"/>
    <mergeCell ref="UTA33:UTB33"/>
    <mergeCell ref="UVK33:UVL33"/>
    <mergeCell ref="UVM33:UVN33"/>
    <mergeCell ref="UVO33:UVP33"/>
    <mergeCell ref="UVQ33:UVR33"/>
    <mergeCell ref="UVS33:UVT33"/>
    <mergeCell ref="UVA33:UVB33"/>
    <mergeCell ref="UVC33:UVD33"/>
    <mergeCell ref="UVE33:UVF33"/>
    <mergeCell ref="UVG33:UVH33"/>
    <mergeCell ref="UVI33:UVJ33"/>
    <mergeCell ref="UUQ33:UUR33"/>
    <mergeCell ref="UUS33:UUT33"/>
    <mergeCell ref="UUU33:UUV33"/>
    <mergeCell ref="UUW33:UUX33"/>
    <mergeCell ref="UUY33:UUZ33"/>
    <mergeCell ref="UUG33:UUH33"/>
    <mergeCell ref="UUI33:UUJ33"/>
    <mergeCell ref="UUK33:UUL33"/>
    <mergeCell ref="UUM33:UUN33"/>
    <mergeCell ref="UUO33:UUP33"/>
    <mergeCell ref="UWY33:UWZ33"/>
    <mergeCell ref="UXA33:UXB33"/>
    <mergeCell ref="UXC33:UXD33"/>
    <mergeCell ref="UXE33:UXF33"/>
    <mergeCell ref="UXG33:UXH33"/>
    <mergeCell ref="UWO33:UWP33"/>
    <mergeCell ref="UWQ33:UWR33"/>
    <mergeCell ref="UWS33:UWT33"/>
    <mergeCell ref="UWU33:UWV33"/>
    <mergeCell ref="UWW33:UWX33"/>
    <mergeCell ref="UWE33:UWF33"/>
    <mergeCell ref="UWG33:UWH33"/>
    <mergeCell ref="UWI33:UWJ33"/>
    <mergeCell ref="UWK33:UWL33"/>
    <mergeCell ref="UWM33:UWN33"/>
    <mergeCell ref="UVU33:UVV33"/>
    <mergeCell ref="UVW33:UVX33"/>
    <mergeCell ref="UVY33:UVZ33"/>
    <mergeCell ref="UWA33:UWB33"/>
    <mergeCell ref="UWC33:UWD33"/>
    <mergeCell ref="UYM33:UYN33"/>
    <mergeCell ref="UYO33:UYP33"/>
    <mergeCell ref="UYQ33:UYR33"/>
    <mergeCell ref="UYS33:UYT33"/>
    <mergeCell ref="UYU33:UYV33"/>
    <mergeCell ref="UYC33:UYD33"/>
    <mergeCell ref="UYE33:UYF33"/>
    <mergeCell ref="UYG33:UYH33"/>
    <mergeCell ref="UYI33:UYJ33"/>
    <mergeCell ref="UYK33:UYL33"/>
    <mergeCell ref="UXS33:UXT33"/>
    <mergeCell ref="UXU33:UXV33"/>
    <mergeCell ref="UXW33:UXX33"/>
    <mergeCell ref="UXY33:UXZ33"/>
    <mergeCell ref="UYA33:UYB33"/>
    <mergeCell ref="UXI33:UXJ33"/>
    <mergeCell ref="UXK33:UXL33"/>
    <mergeCell ref="UXM33:UXN33"/>
    <mergeCell ref="UXO33:UXP33"/>
    <mergeCell ref="UXQ33:UXR33"/>
    <mergeCell ref="VAA33:VAB33"/>
    <mergeCell ref="VAC33:VAD33"/>
    <mergeCell ref="VAE33:VAF33"/>
    <mergeCell ref="VAG33:VAH33"/>
    <mergeCell ref="VAI33:VAJ33"/>
    <mergeCell ref="UZQ33:UZR33"/>
    <mergeCell ref="UZS33:UZT33"/>
    <mergeCell ref="UZU33:UZV33"/>
    <mergeCell ref="UZW33:UZX33"/>
    <mergeCell ref="UZY33:UZZ33"/>
    <mergeCell ref="UZG33:UZH33"/>
    <mergeCell ref="UZI33:UZJ33"/>
    <mergeCell ref="UZK33:UZL33"/>
    <mergeCell ref="UZM33:UZN33"/>
    <mergeCell ref="UZO33:UZP33"/>
    <mergeCell ref="UYW33:UYX33"/>
    <mergeCell ref="UYY33:UYZ33"/>
    <mergeCell ref="UZA33:UZB33"/>
    <mergeCell ref="UZC33:UZD33"/>
    <mergeCell ref="UZE33:UZF33"/>
    <mergeCell ref="VBO33:VBP33"/>
    <mergeCell ref="VBQ33:VBR33"/>
    <mergeCell ref="VBS33:VBT33"/>
    <mergeCell ref="VBU33:VBV33"/>
    <mergeCell ref="VBW33:VBX33"/>
    <mergeCell ref="VBE33:VBF33"/>
    <mergeCell ref="VBG33:VBH33"/>
    <mergeCell ref="VBI33:VBJ33"/>
    <mergeCell ref="VBK33:VBL33"/>
    <mergeCell ref="VBM33:VBN33"/>
    <mergeCell ref="VAU33:VAV33"/>
    <mergeCell ref="VAW33:VAX33"/>
    <mergeCell ref="VAY33:VAZ33"/>
    <mergeCell ref="VBA33:VBB33"/>
    <mergeCell ref="VBC33:VBD33"/>
    <mergeCell ref="VAK33:VAL33"/>
    <mergeCell ref="VAM33:VAN33"/>
    <mergeCell ref="VAO33:VAP33"/>
    <mergeCell ref="VAQ33:VAR33"/>
    <mergeCell ref="VAS33:VAT33"/>
    <mergeCell ref="VDC33:VDD33"/>
    <mergeCell ref="VDE33:VDF33"/>
    <mergeCell ref="VDG33:VDH33"/>
    <mergeCell ref="VDI33:VDJ33"/>
    <mergeCell ref="VDK33:VDL33"/>
    <mergeCell ref="VCS33:VCT33"/>
    <mergeCell ref="VCU33:VCV33"/>
    <mergeCell ref="VCW33:VCX33"/>
    <mergeCell ref="VCY33:VCZ33"/>
    <mergeCell ref="VDA33:VDB33"/>
    <mergeCell ref="VCI33:VCJ33"/>
    <mergeCell ref="VCK33:VCL33"/>
    <mergeCell ref="VCM33:VCN33"/>
    <mergeCell ref="VCO33:VCP33"/>
    <mergeCell ref="VCQ33:VCR33"/>
    <mergeCell ref="VBY33:VBZ33"/>
    <mergeCell ref="VCA33:VCB33"/>
    <mergeCell ref="VCC33:VCD33"/>
    <mergeCell ref="VCE33:VCF33"/>
    <mergeCell ref="VCG33:VCH33"/>
    <mergeCell ref="VEQ33:VER33"/>
    <mergeCell ref="VES33:VET33"/>
    <mergeCell ref="VEU33:VEV33"/>
    <mergeCell ref="VEW33:VEX33"/>
    <mergeCell ref="VEY33:VEZ33"/>
    <mergeCell ref="VEG33:VEH33"/>
    <mergeCell ref="VEI33:VEJ33"/>
    <mergeCell ref="VEK33:VEL33"/>
    <mergeCell ref="VEM33:VEN33"/>
    <mergeCell ref="VEO33:VEP33"/>
    <mergeCell ref="VDW33:VDX33"/>
    <mergeCell ref="VDY33:VDZ33"/>
    <mergeCell ref="VEA33:VEB33"/>
    <mergeCell ref="VEC33:VED33"/>
    <mergeCell ref="VEE33:VEF33"/>
    <mergeCell ref="VDM33:VDN33"/>
    <mergeCell ref="VDO33:VDP33"/>
    <mergeCell ref="VDQ33:VDR33"/>
    <mergeCell ref="VDS33:VDT33"/>
    <mergeCell ref="VDU33:VDV33"/>
    <mergeCell ref="VGE33:VGF33"/>
    <mergeCell ref="VGG33:VGH33"/>
    <mergeCell ref="VGI33:VGJ33"/>
    <mergeCell ref="VGK33:VGL33"/>
    <mergeCell ref="VGM33:VGN33"/>
    <mergeCell ref="VFU33:VFV33"/>
    <mergeCell ref="VFW33:VFX33"/>
    <mergeCell ref="VFY33:VFZ33"/>
    <mergeCell ref="VGA33:VGB33"/>
    <mergeCell ref="VGC33:VGD33"/>
    <mergeCell ref="VFK33:VFL33"/>
    <mergeCell ref="VFM33:VFN33"/>
    <mergeCell ref="VFO33:VFP33"/>
    <mergeCell ref="VFQ33:VFR33"/>
    <mergeCell ref="VFS33:VFT33"/>
    <mergeCell ref="VFA33:VFB33"/>
    <mergeCell ref="VFC33:VFD33"/>
    <mergeCell ref="VFE33:VFF33"/>
    <mergeCell ref="VFG33:VFH33"/>
    <mergeCell ref="VFI33:VFJ33"/>
    <mergeCell ref="VHS33:VHT33"/>
    <mergeCell ref="VHU33:VHV33"/>
    <mergeCell ref="VHW33:VHX33"/>
    <mergeCell ref="VHY33:VHZ33"/>
    <mergeCell ref="VIA33:VIB33"/>
    <mergeCell ref="VHI33:VHJ33"/>
    <mergeCell ref="VHK33:VHL33"/>
    <mergeCell ref="VHM33:VHN33"/>
    <mergeCell ref="VHO33:VHP33"/>
    <mergeCell ref="VHQ33:VHR33"/>
    <mergeCell ref="VGY33:VGZ33"/>
    <mergeCell ref="VHA33:VHB33"/>
    <mergeCell ref="VHC33:VHD33"/>
    <mergeCell ref="VHE33:VHF33"/>
    <mergeCell ref="VHG33:VHH33"/>
    <mergeCell ref="VGO33:VGP33"/>
    <mergeCell ref="VGQ33:VGR33"/>
    <mergeCell ref="VGS33:VGT33"/>
    <mergeCell ref="VGU33:VGV33"/>
    <mergeCell ref="VGW33:VGX33"/>
    <mergeCell ref="VJG33:VJH33"/>
    <mergeCell ref="VJI33:VJJ33"/>
    <mergeCell ref="VJK33:VJL33"/>
    <mergeCell ref="VJM33:VJN33"/>
    <mergeCell ref="VJO33:VJP33"/>
    <mergeCell ref="VIW33:VIX33"/>
    <mergeCell ref="VIY33:VIZ33"/>
    <mergeCell ref="VJA33:VJB33"/>
    <mergeCell ref="VJC33:VJD33"/>
    <mergeCell ref="VJE33:VJF33"/>
    <mergeCell ref="VIM33:VIN33"/>
    <mergeCell ref="VIO33:VIP33"/>
    <mergeCell ref="VIQ33:VIR33"/>
    <mergeCell ref="VIS33:VIT33"/>
    <mergeCell ref="VIU33:VIV33"/>
    <mergeCell ref="VIC33:VID33"/>
    <mergeCell ref="VIE33:VIF33"/>
    <mergeCell ref="VIG33:VIH33"/>
    <mergeCell ref="VII33:VIJ33"/>
    <mergeCell ref="VIK33:VIL33"/>
    <mergeCell ref="VKU33:VKV33"/>
    <mergeCell ref="VKW33:VKX33"/>
    <mergeCell ref="VKY33:VKZ33"/>
    <mergeCell ref="VLA33:VLB33"/>
    <mergeCell ref="VLC33:VLD33"/>
    <mergeCell ref="VKK33:VKL33"/>
    <mergeCell ref="VKM33:VKN33"/>
    <mergeCell ref="VKO33:VKP33"/>
    <mergeCell ref="VKQ33:VKR33"/>
    <mergeCell ref="VKS33:VKT33"/>
    <mergeCell ref="VKA33:VKB33"/>
    <mergeCell ref="VKC33:VKD33"/>
    <mergeCell ref="VKE33:VKF33"/>
    <mergeCell ref="VKG33:VKH33"/>
    <mergeCell ref="VKI33:VKJ33"/>
    <mergeCell ref="VJQ33:VJR33"/>
    <mergeCell ref="VJS33:VJT33"/>
    <mergeCell ref="VJU33:VJV33"/>
    <mergeCell ref="VJW33:VJX33"/>
    <mergeCell ref="VJY33:VJZ33"/>
    <mergeCell ref="VMI33:VMJ33"/>
    <mergeCell ref="VMK33:VML33"/>
    <mergeCell ref="VMM33:VMN33"/>
    <mergeCell ref="VMO33:VMP33"/>
    <mergeCell ref="VMQ33:VMR33"/>
    <mergeCell ref="VLY33:VLZ33"/>
    <mergeCell ref="VMA33:VMB33"/>
    <mergeCell ref="VMC33:VMD33"/>
    <mergeCell ref="VME33:VMF33"/>
    <mergeCell ref="VMG33:VMH33"/>
    <mergeCell ref="VLO33:VLP33"/>
    <mergeCell ref="VLQ33:VLR33"/>
    <mergeCell ref="VLS33:VLT33"/>
    <mergeCell ref="VLU33:VLV33"/>
    <mergeCell ref="VLW33:VLX33"/>
    <mergeCell ref="VLE33:VLF33"/>
    <mergeCell ref="VLG33:VLH33"/>
    <mergeCell ref="VLI33:VLJ33"/>
    <mergeCell ref="VLK33:VLL33"/>
    <mergeCell ref="VLM33:VLN33"/>
    <mergeCell ref="VNW33:VNX33"/>
    <mergeCell ref="VNY33:VNZ33"/>
    <mergeCell ref="VOA33:VOB33"/>
    <mergeCell ref="VOC33:VOD33"/>
    <mergeCell ref="VOE33:VOF33"/>
    <mergeCell ref="VNM33:VNN33"/>
    <mergeCell ref="VNO33:VNP33"/>
    <mergeCell ref="VNQ33:VNR33"/>
    <mergeCell ref="VNS33:VNT33"/>
    <mergeCell ref="VNU33:VNV33"/>
    <mergeCell ref="VNC33:VND33"/>
    <mergeCell ref="VNE33:VNF33"/>
    <mergeCell ref="VNG33:VNH33"/>
    <mergeCell ref="VNI33:VNJ33"/>
    <mergeCell ref="VNK33:VNL33"/>
    <mergeCell ref="VMS33:VMT33"/>
    <mergeCell ref="VMU33:VMV33"/>
    <mergeCell ref="VMW33:VMX33"/>
    <mergeCell ref="VMY33:VMZ33"/>
    <mergeCell ref="VNA33:VNB33"/>
    <mergeCell ref="VPK33:VPL33"/>
    <mergeCell ref="VPM33:VPN33"/>
    <mergeCell ref="VPO33:VPP33"/>
    <mergeCell ref="VPQ33:VPR33"/>
    <mergeCell ref="VPS33:VPT33"/>
    <mergeCell ref="VPA33:VPB33"/>
    <mergeCell ref="VPC33:VPD33"/>
    <mergeCell ref="VPE33:VPF33"/>
    <mergeCell ref="VPG33:VPH33"/>
    <mergeCell ref="VPI33:VPJ33"/>
    <mergeCell ref="VOQ33:VOR33"/>
    <mergeCell ref="VOS33:VOT33"/>
    <mergeCell ref="VOU33:VOV33"/>
    <mergeCell ref="VOW33:VOX33"/>
    <mergeCell ref="VOY33:VOZ33"/>
    <mergeCell ref="VOG33:VOH33"/>
    <mergeCell ref="VOI33:VOJ33"/>
    <mergeCell ref="VOK33:VOL33"/>
    <mergeCell ref="VOM33:VON33"/>
    <mergeCell ref="VOO33:VOP33"/>
    <mergeCell ref="VQY33:VQZ33"/>
    <mergeCell ref="VRA33:VRB33"/>
    <mergeCell ref="VRC33:VRD33"/>
    <mergeCell ref="VRE33:VRF33"/>
    <mergeCell ref="VRG33:VRH33"/>
    <mergeCell ref="VQO33:VQP33"/>
    <mergeCell ref="VQQ33:VQR33"/>
    <mergeCell ref="VQS33:VQT33"/>
    <mergeCell ref="VQU33:VQV33"/>
    <mergeCell ref="VQW33:VQX33"/>
    <mergeCell ref="VQE33:VQF33"/>
    <mergeCell ref="VQG33:VQH33"/>
    <mergeCell ref="VQI33:VQJ33"/>
    <mergeCell ref="VQK33:VQL33"/>
    <mergeCell ref="VQM33:VQN33"/>
    <mergeCell ref="VPU33:VPV33"/>
    <mergeCell ref="VPW33:VPX33"/>
    <mergeCell ref="VPY33:VPZ33"/>
    <mergeCell ref="VQA33:VQB33"/>
    <mergeCell ref="VQC33:VQD33"/>
    <mergeCell ref="VSM33:VSN33"/>
    <mergeCell ref="VSO33:VSP33"/>
    <mergeCell ref="VSQ33:VSR33"/>
    <mergeCell ref="VSS33:VST33"/>
    <mergeCell ref="VSU33:VSV33"/>
    <mergeCell ref="VSC33:VSD33"/>
    <mergeCell ref="VSE33:VSF33"/>
    <mergeCell ref="VSG33:VSH33"/>
    <mergeCell ref="VSI33:VSJ33"/>
    <mergeCell ref="VSK33:VSL33"/>
    <mergeCell ref="VRS33:VRT33"/>
    <mergeCell ref="VRU33:VRV33"/>
    <mergeCell ref="VRW33:VRX33"/>
    <mergeCell ref="VRY33:VRZ33"/>
    <mergeCell ref="VSA33:VSB33"/>
    <mergeCell ref="VRI33:VRJ33"/>
    <mergeCell ref="VRK33:VRL33"/>
    <mergeCell ref="VRM33:VRN33"/>
    <mergeCell ref="VRO33:VRP33"/>
    <mergeCell ref="VRQ33:VRR33"/>
    <mergeCell ref="VUA33:VUB33"/>
    <mergeCell ref="VUC33:VUD33"/>
    <mergeCell ref="VUE33:VUF33"/>
    <mergeCell ref="VUG33:VUH33"/>
    <mergeCell ref="VUI33:VUJ33"/>
    <mergeCell ref="VTQ33:VTR33"/>
    <mergeCell ref="VTS33:VTT33"/>
    <mergeCell ref="VTU33:VTV33"/>
    <mergeCell ref="VTW33:VTX33"/>
    <mergeCell ref="VTY33:VTZ33"/>
    <mergeCell ref="VTG33:VTH33"/>
    <mergeCell ref="VTI33:VTJ33"/>
    <mergeCell ref="VTK33:VTL33"/>
    <mergeCell ref="VTM33:VTN33"/>
    <mergeCell ref="VTO33:VTP33"/>
    <mergeCell ref="VSW33:VSX33"/>
    <mergeCell ref="VSY33:VSZ33"/>
    <mergeCell ref="VTA33:VTB33"/>
    <mergeCell ref="VTC33:VTD33"/>
    <mergeCell ref="VTE33:VTF33"/>
    <mergeCell ref="VVO33:VVP33"/>
    <mergeCell ref="VVQ33:VVR33"/>
    <mergeCell ref="VVS33:VVT33"/>
    <mergeCell ref="VVU33:VVV33"/>
    <mergeCell ref="VVW33:VVX33"/>
    <mergeCell ref="VVE33:VVF33"/>
    <mergeCell ref="VVG33:VVH33"/>
    <mergeCell ref="VVI33:VVJ33"/>
    <mergeCell ref="VVK33:VVL33"/>
    <mergeCell ref="VVM33:VVN33"/>
    <mergeCell ref="VUU33:VUV33"/>
    <mergeCell ref="VUW33:VUX33"/>
    <mergeCell ref="VUY33:VUZ33"/>
    <mergeCell ref="VVA33:VVB33"/>
    <mergeCell ref="VVC33:VVD33"/>
    <mergeCell ref="VUK33:VUL33"/>
    <mergeCell ref="VUM33:VUN33"/>
    <mergeCell ref="VUO33:VUP33"/>
    <mergeCell ref="VUQ33:VUR33"/>
    <mergeCell ref="VUS33:VUT33"/>
    <mergeCell ref="VXC33:VXD33"/>
    <mergeCell ref="VXE33:VXF33"/>
    <mergeCell ref="VXG33:VXH33"/>
    <mergeCell ref="VXI33:VXJ33"/>
    <mergeCell ref="VXK33:VXL33"/>
    <mergeCell ref="VWS33:VWT33"/>
    <mergeCell ref="VWU33:VWV33"/>
    <mergeCell ref="VWW33:VWX33"/>
    <mergeCell ref="VWY33:VWZ33"/>
    <mergeCell ref="VXA33:VXB33"/>
    <mergeCell ref="VWI33:VWJ33"/>
    <mergeCell ref="VWK33:VWL33"/>
    <mergeCell ref="VWM33:VWN33"/>
    <mergeCell ref="VWO33:VWP33"/>
    <mergeCell ref="VWQ33:VWR33"/>
    <mergeCell ref="VVY33:VVZ33"/>
    <mergeCell ref="VWA33:VWB33"/>
    <mergeCell ref="VWC33:VWD33"/>
    <mergeCell ref="VWE33:VWF33"/>
    <mergeCell ref="VWG33:VWH33"/>
    <mergeCell ref="VYQ33:VYR33"/>
    <mergeCell ref="VYS33:VYT33"/>
    <mergeCell ref="VYU33:VYV33"/>
    <mergeCell ref="VYW33:VYX33"/>
    <mergeCell ref="VYY33:VYZ33"/>
    <mergeCell ref="VYG33:VYH33"/>
    <mergeCell ref="VYI33:VYJ33"/>
    <mergeCell ref="VYK33:VYL33"/>
    <mergeCell ref="VYM33:VYN33"/>
    <mergeCell ref="VYO33:VYP33"/>
    <mergeCell ref="VXW33:VXX33"/>
    <mergeCell ref="VXY33:VXZ33"/>
    <mergeCell ref="VYA33:VYB33"/>
    <mergeCell ref="VYC33:VYD33"/>
    <mergeCell ref="VYE33:VYF33"/>
    <mergeCell ref="VXM33:VXN33"/>
    <mergeCell ref="VXO33:VXP33"/>
    <mergeCell ref="VXQ33:VXR33"/>
    <mergeCell ref="VXS33:VXT33"/>
    <mergeCell ref="VXU33:VXV33"/>
    <mergeCell ref="WAE33:WAF33"/>
    <mergeCell ref="WAG33:WAH33"/>
    <mergeCell ref="WAI33:WAJ33"/>
    <mergeCell ref="WAK33:WAL33"/>
    <mergeCell ref="WAM33:WAN33"/>
    <mergeCell ref="VZU33:VZV33"/>
    <mergeCell ref="VZW33:VZX33"/>
    <mergeCell ref="VZY33:VZZ33"/>
    <mergeCell ref="WAA33:WAB33"/>
    <mergeCell ref="WAC33:WAD33"/>
    <mergeCell ref="VZK33:VZL33"/>
    <mergeCell ref="VZM33:VZN33"/>
    <mergeCell ref="VZO33:VZP33"/>
    <mergeCell ref="VZQ33:VZR33"/>
    <mergeCell ref="VZS33:VZT33"/>
    <mergeCell ref="VZA33:VZB33"/>
    <mergeCell ref="VZC33:VZD33"/>
    <mergeCell ref="VZE33:VZF33"/>
    <mergeCell ref="VZG33:VZH33"/>
    <mergeCell ref="VZI33:VZJ33"/>
    <mergeCell ref="WBS33:WBT33"/>
    <mergeCell ref="WBU33:WBV33"/>
    <mergeCell ref="WBW33:WBX33"/>
    <mergeCell ref="WBY33:WBZ33"/>
    <mergeCell ref="WCA33:WCB33"/>
    <mergeCell ref="WBI33:WBJ33"/>
    <mergeCell ref="WBK33:WBL33"/>
    <mergeCell ref="WBM33:WBN33"/>
    <mergeCell ref="WBO33:WBP33"/>
    <mergeCell ref="WBQ33:WBR33"/>
    <mergeCell ref="WAY33:WAZ33"/>
    <mergeCell ref="WBA33:WBB33"/>
    <mergeCell ref="WBC33:WBD33"/>
    <mergeCell ref="WBE33:WBF33"/>
    <mergeCell ref="WBG33:WBH33"/>
    <mergeCell ref="WAO33:WAP33"/>
    <mergeCell ref="WAQ33:WAR33"/>
    <mergeCell ref="WAS33:WAT33"/>
    <mergeCell ref="WAU33:WAV33"/>
    <mergeCell ref="WAW33:WAX33"/>
    <mergeCell ref="WDG33:WDH33"/>
    <mergeCell ref="WDI33:WDJ33"/>
    <mergeCell ref="WDK33:WDL33"/>
    <mergeCell ref="WDM33:WDN33"/>
    <mergeCell ref="WDO33:WDP33"/>
    <mergeCell ref="WCW33:WCX33"/>
    <mergeCell ref="WCY33:WCZ33"/>
    <mergeCell ref="WDA33:WDB33"/>
    <mergeCell ref="WDC33:WDD33"/>
    <mergeCell ref="WDE33:WDF33"/>
    <mergeCell ref="WCM33:WCN33"/>
    <mergeCell ref="WCO33:WCP33"/>
    <mergeCell ref="WCQ33:WCR33"/>
    <mergeCell ref="WCS33:WCT33"/>
    <mergeCell ref="WCU33:WCV33"/>
    <mergeCell ref="WCC33:WCD33"/>
    <mergeCell ref="WCE33:WCF33"/>
    <mergeCell ref="WCG33:WCH33"/>
    <mergeCell ref="WCI33:WCJ33"/>
    <mergeCell ref="WCK33:WCL33"/>
    <mergeCell ref="WEU33:WEV33"/>
    <mergeCell ref="WEW33:WEX33"/>
    <mergeCell ref="WEY33:WEZ33"/>
    <mergeCell ref="WFA33:WFB33"/>
    <mergeCell ref="WFC33:WFD33"/>
    <mergeCell ref="WEK33:WEL33"/>
    <mergeCell ref="WEM33:WEN33"/>
    <mergeCell ref="WEO33:WEP33"/>
    <mergeCell ref="WEQ33:WER33"/>
    <mergeCell ref="WES33:WET33"/>
    <mergeCell ref="WEA33:WEB33"/>
    <mergeCell ref="WEC33:WED33"/>
    <mergeCell ref="WEE33:WEF33"/>
    <mergeCell ref="WEG33:WEH33"/>
    <mergeCell ref="WEI33:WEJ33"/>
    <mergeCell ref="WDQ33:WDR33"/>
    <mergeCell ref="WDS33:WDT33"/>
    <mergeCell ref="WDU33:WDV33"/>
    <mergeCell ref="WDW33:WDX33"/>
    <mergeCell ref="WDY33:WDZ33"/>
    <mergeCell ref="WGI33:WGJ33"/>
    <mergeCell ref="WGK33:WGL33"/>
    <mergeCell ref="WGM33:WGN33"/>
    <mergeCell ref="WGO33:WGP33"/>
    <mergeCell ref="WGQ33:WGR33"/>
    <mergeCell ref="WFY33:WFZ33"/>
    <mergeCell ref="WGA33:WGB33"/>
    <mergeCell ref="WGC33:WGD33"/>
    <mergeCell ref="WGE33:WGF33"/>
    <mergeCell ref="WGG33:WGH33"/>
    <mergeCell ref="WFO33:WFP33"/>
    <mergeCell ref="WFQ33:WFR33"/>
    <mergeCell ref="WFS33:WFT33"/>
    <mergeCell ref="WFU33:WFV33"/>
    <mergeCell ref="WFW33:WFX33"/>
    <mergeCell ref="WFE33:WFF33"/>
    <mergeCell ref="WFG33:WFH33"/>
    <mergeCell ref="WFI33:WFJ33"/>
    <mergeCell ref="WFK33:WFL33"/>
    <mergeCell ref="WFM33:WFN33"/>
    <mergeCell ref="WHW33:WHX33"/>
    <mergeCell ref="WHY33:WHZ33"/>
    <mergeCell ref="WIA33:WIB33"/>
    <mergeCell ref="WIC33:WID33"/>
    <mergeCell ref="WIE33:WIF33"/>
    <mergeCell ref="WHM33:WHN33"/>
    <mergeCell ref="WHO33:WHP33"/>
    <mergeCell ref="WHQ33:WHR33"/>
    <mergeCell ref="WHS33:WHT33"/>
    <mergeCell ref="WHU33:WHV33"/>
    <mergeCell ref="WHC33:WHD33"/>
    <mergeCell ref="WHE33:WHF33"/>
    <mergeCell ref="WHG33:WHH33"/>
    <mergeCell ref="WHI33:WHJ33"/>
    <mergeCell ref="WHK33:WHL33"/>
    <mergeCell ref="WGS33:WGT33"/>
    <mergeCell ref="WGU33:WGV33"/>
    <mergeCell ref="WGW33:WGX33"/>
    <mergeCell ref="WGY33:WGZ33"/>
    <mergeCell ref="WHA33:WHB33"/>
    <mergeCell ref="WJK33:WJL33"/>
    <mergeCell ref="WJM33:WJN33"/>
    <mergeCell ref="WJO33:WJP33"/>
    <mergeCell ref="WJQ33:WJR33"/>
    <mergeCell ref="WJS33:WJT33"/>
    <mergeCell ref="WJA33:WJB33"/>
    <mergeCell ref="WJC33:WJD33"/>
    <mergeCell ref="WJE33:WJF33"/>
    <mergeCell ref="WJG33:WJH33"/>
    <mergeCell ref="WJI33:WJJ33"/>
    <mergeCell ref="WIQ33:WIR33"/>
    <mergeCell ref="WIS33:WIT33"/>
    <mergeCell ref="WIU33:WIV33"/>
    <mergeCell ref="WIW33:WIX33"/>
    <mergeCell ref="WIY33:WIZ33"/>
    <mergeCell ref="WIG33:WIH33"/>
    <mergeCell ref="WII33:WIJ33"/>
    <mergeCell ref="WIK33:WIL33"/>
    <mergeCell ref="WIM33:WIN33"/>
    <mergeCell ref="WIO33:WIP33"/>
    <mergeCell ref="WKY33:WKZ33"/>
    <mergeCell ref="WLA33:WLB33"/>
    <mergeCell ref="WLC33:WLD33"/>
    <mergeCell ref="WLE33:WLF33"/>
    <mergeCell ref="WLG33:WLH33"/>
    <mergeCell ref="WKO33:WKP33"/>
    <mergeCell ref="WKQ33:WKR33"/>
    <mergeCell ref="WKS33:WKT33"/>
    <mergeCell ref="WKU33:WKV33"/>
    <mergeCell ref="WKW33:WKX33"/>
    <mergeCell ref="WKE33:WKF33"/>
    <mergeCell ref="WKG33:WKH33"/>
    <mergeCell ref="WKI33:WKJ33"/>
    <mergeCell ref="WKK33:WKL33"/>
    <mergeCell ref="WKM33:WKN33"/>
    <mergeCell ref="WJU33:WJV33"/>
    <mergeCell ref="WJW33:WJX33"/>
    <mergeCell ref="WJY33:WJZ33"/>
    <mergeCell ref="WKA33:WKB33"/>
    <mergeCell ref="WKC33:WKD33"/>
    <mergeCell ref="WMM33:WMN33"/>
    <mergeCell ref="WMO33:WMP33"/>
    <mergeCell ref="WMQ33:WMR33"/>
    <mergeCell ref="WMS33:WMT33"/>
    <mergeCell ref="WMU33:WMV33"/>
    <mergeCell ref="WMC33:WMD33"/>
    <mergeCell ref="WME33:WMF33"/>
    <mergeCell ref="WMG33:WMH33"/>
    <mergeCell ref="WMI33:WMJ33"/>
    <mergeCell ref="WMK33:WML33"/>
    <mergeCell ref="WLS33:WLT33"/>
    <mergeCell ref="WLU33:WLV33"/>
    <mergeCell ref="WLW33:WLX33"/>
    <mergeCell ref="WLY33:WLZ33"/>
    <mergeCell ref="WMA33:WMB33"/>
    <mergeCell ref="WLI33:WLJ33"/>
    <mergeCell ref="WLK33:WLL33"/>
    <mergeCell ref="WLM33:WLN33"/>
    <mergeCell ref="WLO33:WLP33"/>
    <mergeCell ref="WLQ33:WLR33"/>
    <mergeCell ref="WOA33:WOB33"/>
    <mergeCell ref="WOC33:WOD33"/>
    <mergeCell ref="WOE33:WOF33"/>
    <mergeCell ref="WOG33:WOH33"/>
    <mergeCell ref="WOI33:WOJ33"/>
    <mergeCell ref="WNQ33:WNR33"/>
    <mergeCell ref="WNS33:WNT33"/>
    <mergeCell ref="WNU33:WNV33"/>
    <mergeCell ref="WNW33:WNX33"/>
    <mergeCell ref="WNY33:WNZ33"/>
    <mergeCell ref="WNG33:WNH33"/>
    <mergeCell ref="WNI33:WNJ33"/>
    <mergeCell ref="WNK33:WNL33"/>
    <mergeCell ref="WNM33:WNN33"/>
    <mergeCell ref="WNO33:WNP33"/>
    <mergeCell ref="WMW33:WMX33"/>
    <mergeCell ref="WMY33:WMZ33"/>
    <mergeCell ref="WNA33:WNB33"/>
    <mergeCell ref="WNC33:WND33"/>
    <mergeCell ref="WNE33:WNF33"/>
    <mergeCell ref="WPO33:WPP33"/>
    <mergeCell ref="WPQ33:WPR33"/>
    <mergeCell ref="WPS33:WPT33"/>
    <mergeCell ref="WPU33:WPV33"/>
    <mergeCell ref="WPW33:WPX33"/>
    <mergeCell ref="WPE33:WPF33"/>
    <mergeCell ref="WPG33:WPH33"/>
    <mergeCell ref="WPI33:WPJ33"/>
    <mergeCell ref="WPK33:WPL33"/>
    <mergeCell ref="WPM33:WPN33"/>
    <mergeCell ref="WOU33:WOV33"/>
    <mergeCell ref="WOW33:WOX33"/>
    <mergeCell ref="WOY33:WOZ33"/>
    <mergeCell ref="WPA33:WPB33"/>
    <mergeCell ref="WPC33:WPD33"/>
    <mergeCell ref="WOK33:WOL33"/>
    <mergeCell ref="WOM33:WON33"/>
    <mergeCell ref="WOO33:WOP33"/>
    <mergeCell ref="WOQ33:WOR33"/>
    <mergeCell ref="WOS33:WOT33"/>
    <mergeCell ref="WRC33:WRD33"/>
    <mergeCell ref="WRE33:WRF33"/>
    <mergeCell ref="WRG33:WRH33"/>
    <mergeCell ref="WRI33:WRJ33"/>
    <mergeCell ref="WRK33:WRL33"/>
    <mergeCell ref="WQS33:WQT33"/>
    <mergeCell ref="WQU33:WQV33"/>
    <mergeCell ref="WQW33:WQX33"/>
    <mergeCell ref="WQY33:WQZ33"/>
    <mergeCell ref="WRA33:WRB33"/>
    <mergeCell ref="WQI33:WQJ33"/>
    <mergeCell ref="WQK33:WQL33"/>
    <mergeCell ref="WQM33:WQN33"/>
    <mergeCell ref="WQO33:WQP33"/>
    <mergeCell ref="WQQ33:WQR33"/>
    <mergeCell ref="WPY33:WPZ33"/>
    <mergeCell ref="WQA33:WQB33"/>
    <mergeCell ref="WQC33:WQD33"/>
    <mergeCell ref="WQE33:WQF33"/>
    <mergeCell ref="WQG33:WQH33"/>
    <mergeCell ref="WSQ33:WSR33"/>
    <mergeCell ref="WSS33:WST33"/>
    <mergeCell ref="WSU33:WSV33"/>
    <mergeCell ref="WSW33:WSX33"/>
    <mergeCell ref="WSY33:WSZ33"/>
    <mergeCell ref="WSG33:WSH33"/>
    <mergeCell ref="WSI33:WSJ33"/>
    <mergeCell ref="WSK33:WSL33"/>
    <mergeCell ref="WSM33:WSN33"/>
    <mergeCell ref="WSO33:WSP33"/>
    <mergeCell ref="WRW33:WRX33"/>
    <mergeCell ref="WRY33:WRZ33"/>
    <mergeCell ref="WSA33:WSB33"/>
    <mergeCell ref="WSC33:WSD33"/>
    <mergeCell ref="WSE33:WSF33"/>
    <mergeCell ref="WRM33:WRN33"/>
    <mergeCell ref="WRO33:WRP33"/>
    <mergeCell ref="WRQ33:WRR33"/>
    <mergeCell ref="WRS33:WRT33"/>
    <mergeCell ref="WRU33:WRV33"/>
    <mergeCell ref="WUE33:WUF33"/>
    <mergeCell ref="WUG33:WUH33"/>
    <mergeCell ref="WUI33:WUJ33"/>
    <mergeCell ref="WUK33:WUL33"/>
    <mergeCell ref="WUM33:WUN33"/>
    <mergeCell ref="WTU33:WTV33"/>
    <mergeCell ref="WTW33:WTX33"/>
    <mergeCell ref="WTY33:WTZ33"/>
    <mergeCell ref="WUA33:WUB33"/>
    <mergeCell ref="WUC33:WUD33"/>
    <mergeCell ref="WTK33:WTL33"/>
    <mergeCell ref="WTM33:WTN33"/>
    <mergeCell ref="WTO33:WTP33"/>
    <mergeCell ref="WTQ33:WTR33"/>
    <mergeCell ref="WTS33:WTT33"/>
    <mergeCell ref="WTA33:WTB33"/>
    <mergeCell ref="WTC33:WTD33"/>
    <mergeCell ref="WTE33:WTF33"/>
    <mergeCell ref="WTG33:WTH33"/>
    <mergeCell ref="WTI33:WTJ33"/>
    <mergeCell ref="WVS33:WVT33"/>
    <mergeCell ref="WVU33:WVV33"/>
    <mergeCell ref="WVW33:WVX33"/>
    <mergeCell ref="WVY33:WVZ33"/>
    <mergeCell ref="WWA33:WWB33"/>
    <mergeCell ref="WVI33:WVJ33"/>
    <mergeCell ref="WVK33:WVL33"/>
    <mergeCell ref="WVM33:WVN33"/>
    <mergeCell ref="WVO33:WVP33"/>
    <mergeCell ref="WVQ33:WVR33"/>
    <mergeCell ref="WUY33:WUZ33"/>
    <mergeCell ref="WVA33:WVB33"/>
    <mergeCell ref="WVC33:WVD33"/>
    <mergeCell ref="WVE33:WVF33"/>
    <mergeCell ref="WVG33:WVH33"/>
    <mergeCell ref="WUO33:WUP33"/>
    <mergeCell ref="WUQ33:WUR33"/>
    <mergeCell ref="WUS33:WUT33"/>
    <mergeCell ref="WUU33:WUV33"/>
    <mergeCell ref="WUW33:WUX33"/>
    <mergeCell ref="WXG33:WXH33"/>
    <mergeCell ref="WXI33:WXJ33"/>
    <mergeCell ref="WXK33:WXL33"/>
    <mergeCell ref="WXM33:WXN33"/>
    <mergeCell ref="WXO33:WXP33"/>
    <mergeCell ref="WWW33:WWX33"/>
    <mergeCell ref="WWY33:WWZ33"/>
    <mergeCell ref="WXA33:WXB33"/>
    <mergeCell ref="WXC33:WXD33"/>
    <mergeCell ref="WXE33:WXF33"/>
    <mergeCell ref="WWM33:WWN33"/>
    <mergeCell ref="WWO33:WWP33"/>
    <mergeCell ref="WWQ33:WWR33"/>
    <mergeCell ref="WWS33:WWT33"/>
    <mergeCell ref="WWU33:WWV33"/>
    <mergeCell ref="WWC33:WWD33"/>
    <mergeCell ref="WWE33:WWF33"/>
    <mergeCell ref="WWG33:WWH33"/>
    <mergeCell ref="WWI33:WWJ33"/>
    <mergeCell ref="WWK33:WWL33"/>
    <mergeCell ref="WYU33:WYV33"/>
    <mergeCell ref="WYW33:WYX33"/>
    <mergeCell ref="WYY33:WYZ33"/>
    <mergeCell ref="WZA33:WZB33"/>
    <mergeCell ref="WZC33:WZD33"/>
    <mergeCell ref="WYK33:WYL33"/>
    <mergeCell ref="WYM33:WYN33"/>
    <mergeCell ref="WYO33:WYP33"/>
    <mergeCell ref="WYQ33:WYR33"/>
    <mergeCell ref="WYS33:WYT33"/>
    <mergeCell ref="WYA33:WYB33"/>
    <mergeCell ref="WYC33:WYD33"/>
    <mergeCell ref="WYE33:WYF33"/>
    <mergeCell ref="WYG33:WYH33"/>
    <mergeCell ref="WYI33:WYJ33"/>
    <mergeCell ref="WXQ33:WXR33"/>
    <mergeCell ref="WXS33:WXT33"/>
    <mergeCell ref="WXU33:WXV33"/>
    <mergeCell ref="WXW33:WXX33"/>
    <mergeCell ref="WXY33:WXZ33"/>
    <mergeCell ref="XAI33:XAJ33"/>
    <mergeCell ref="XAK33:XAL33"/>
    <mergeCell ref="XAM33:XAN33"/>
    <mergeCell ref="XAO33:XAP33"/>
    <mergeCell ref="XAQ33:XAR33"/>
    <mergeCell ref="WZY33:WZZ33"/>
    <mergeCell ref="XAA33:XAB33"/>
    <mergeCell ref="XAC33:XAD33"/>
    <mergeCell ref="XAE33:XAF33"/>
    <mergeCell ref="XAG33:XAH33"/>
    <mergeCell ref="WZO33:WZP33"/>
    <mergeCell ref="WZQ33:WZR33"/>
    <mergeCell ref="WZS33:WZT33"/>
    <mergeCell ref="WZU33:WZV33"/>
    <mergeCell ref="WZW33:WZX33"/>
    <mergeCell ref="WZE33:WZF33"/>
    <mergeCell ref="WZG33:WZH33"/>
    <mergeCell ref="WZI33:WZJ33"/>
    <mergeCell ref="WZK33:WZL33"/>
    <mergeCell ref="WZM33:WZN33"/>
    <mergeCell ref="XBW33:XBX33"/>
    <mergeCell ref="XBY33:XBZ33"/>
    <mergeCell ref="XCA33:XCB33"/>
    <mergeCell ref="XCC33:XCD33"/>
    <mergeCell ref="XCE33:XCF33"/>
    <mergeCell ref="XBM33:XBN33"/>
    <mergeCell ref="XBO33:XBP33"/>
    <mergeCell ref="XBQ33:XBR33"/>
    <mergeCell ref="XBS33:XBT33"/>
    <mergeCell ref="XBU33:XBV33"/>
    <mergeCell ref="XBC33:XBD33"/>
    <mergeCell ref="XBE33:XBF33"/>
    <mergeCell ref="XBG33:XBH33"/>
    <mergeCell ref="XBI33:XBJ33"/>
    <mergeCell ref="XBK33:XBL33"/>
    <mergeCell ref="XAS33:XAT33"/>
    <mergeCell ref="XAU33:XAV33"/>
    <mergeCell ref="XAW33:XAX33"/>
    <mergeCell ref="XAY33:XAZ33"/>
    <mergeCell ref="XBA33:XBB33"/>
    <mergeCell ref="XDK33:XDL33"/>
    <mergeCell ref="XDM33:XDN33"/>
    <mergeCell ref="XDO33:XDP33"/>
    <mergeCell ref="XDQ33:XDR33"/>
    <mergeCell ref="XDS33:XDT33"/>
    <mergeCell ref="XDA33:XDB33"/>
    <mergeCell ref="XDC33:XDD33"/>
    <mergeCell ref="XDE33:XDF33"/>
    <mergeCell ref="XDG33:XDH33"/>
    <mergeCell ref="XDI33:XDJ33"/>
    <mergeCell ref="XCQ33:XCR33"/>
    <mergeCell ref="XCS33:XCT33"/>
    <mergeCell ref="XCU33:XCV33"/>
    <mergeCell ref="XCW33:XCX33"/>
    <mergeCell ref="XCY33:XCZ33"/>
    <mergeCell ref="XCG33:XCH33"/>
    <mergeCell ref="XCI33:XCJ33"/>
    <mergeCell ref="XCK33:XCL33"/>
    <mergeCell ref="XCM33:XCN33"/>
    <mergeCell ref="XCO33:XCP33"/>
    <mergeCell ref="XEY33:XEZ33"/>
    <mergeCell ref="XFA33:XFB33"/>
    <mergeCell ref="XFC33:XFD33"/>
    <mergeCell ref="XEO33:XEP33"/>
    <mergeCell ref="XEQ33:XER33"/>
    <mergeCell ref="XES33:XET33"/>
    <mergeCell ref="XEU33:XEV33"/>
    <mergeCell ref="XEW33:XEX33"/>
    <mergeCell ref="XEE33:XEF33"/>
    <mergeCell ref="XEG33:XEH33"/>
    <mergeCell ref="XEI33:XEJ33"/>
    <mergeCell ref="XEK33:XEL33"/>
    <mergeCell ref="XEM33:XEN33"/>
    <mergeCell ref="XDU33:XDV33"/>
    <mergeCell ref="XDW33:XDX33"/>
    <mergeCell ref="XDY33:XDZ33"/>
    <mergeCell ref="XEA33:XEB33"/>
    <mergeCell ref="XEC33:XED33"/>
  </mergeCells>
  <hyperlinks>
    <hyperlink ref="G20" r:id="rId1" xr:uid="{DA42A539-D608-4A3E-9F40-69F3D996D707}"/>
    <hyperlink ref="G33" r:id="rId2" xr:uid="{A2785CEB-BB73-47E5-B4D8-5AAF379EE9BC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8ECD49-FE65-4DB0-9E2C-40D4E5B950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6</vt:i4>
      </vt:variant>
    </vt:vector>
  </HeadingPairs>
  <TitlesOfParts>
    <vt:vector size="14" baseType="lpstr">
      <vt:lpstr>ORÇAMENTO SINTÉTICO - SB-A2</vt:lpstr>
      <vt:lpstr>BDI</vt:lpstr>
      <vt:lpstr>Memorial</vt:lpstr>
      <vt:lpstr>Quantitativo</vt:lpstr>
      <vt:lpstr>Preços tubos e conexões</vt:lpstr>
      <vt:lpstr>Elétrico</vt:lpstr>
      <vt:lpstr>ORÇAMENTO SINTÉTICO - PA4</vt:lpstr>
      <vt:lpstr>Quantitativo PA4</vt:lpstr>
      <vt:lpstr>BDI!Area_de_impressao</vt:lpstr>
      <vt:lpstr>'ORÇAMENTO SINTÉTICO - PA4'!Area_de_impressao</vt:lpstr>
      <vt:lpstr>'ORÇAMENTO SINTÉTICO - SB-A2'!Area_de_impressao</vt:lpstr>
      <vt:lpstr>'ORÇAMENTO SINTÉTICO - PA4'!Titulos_de_impressao</vt:lpstr>
      <vt:lpstr>'ORÇAMENTO SINTÉTICO - SB-A2'!Titulos_de_impressao</vt:lpstr>
      <vt:lpstr>Quantitativo!Titulos_de_impressao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Henrique Gama</dc:creator>
  <cp:lastModifiedBy>Daniel Henrique Gama</cp:lastModifiedBy>
  <cp:lastPrinted>2026-03-26T14:24:07Z</cp:lastPrinted>
  <dcterms:created xsi:type="dcterms:W3CDTF">2026-02-06T18:05:28Z</dcterms:created>
  <dcterms:modified xsi:type="dcterms:W3CDTF">2026-06-24T18:24:59Z</dcterms:modified>
</cp:coreProperties>
</file>